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tor\Dropbox\Vitor\Pós-Graduação\Doutorado\Projeto Gêmeo\MatLab\"/>
    </mc:Choice>
  </mc:AlternateContent>
  <xr:revisionPtr revIDLastSave="0" documentId="8_{33043039-DFDA-4E81-A8D7-462727BFD469}" xr6:coauthVersionLast="47" xr6:coauthVersionMax="47" xr10:uidLastSave="{00000000-0000-0000-0000-000000000000}"/>
  <bookViews>
    <workbookView xWindow="-28920" yWindow="-120" windowWidth="29040" windowHeight="15720" xr2:uid="{9C87F1CA-E91E-4B39-9F7C-AD785AC8F56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2" i="1" l="1"/>
  <c r="O2" i="1"/>
  <c r="K800" i="1"/>
  <c r="K798" i="1"/>
  <c r="K796" i="1"/>
  <c r="K794" i="1"/>
  <c r="K792" i="1"/>
  <c r="K790" i="1"/>
  <c r="K788" i="1"/>
  <c r="K786" i="1"/>
  <c r="K784" i="1"/>
  <c r="K782" i="1"/>
  <c r="K780" i="1"/>
  <c r="K778" i="1"/>
  <c r="K776" i="1"/>
  <c r="K774" i="1"/>
  <c r="K772" i="1"/>
  <c r="K770" i="1"/>
  <c r="K768" i="1"/>
  <c r="K766" i="1"/>
  <c r="K764" i="1"/>
  <c r="K762" i="1"/>
  <c r="K760" i="1"/>
  <c r="K758" i="1"/>
  <c r="K756" i="1"/>
  <c r="K754" i="1"/>
  <c r="K752" i="1"/>
  <c r="K750" i="1"/>
  <c r="K748" i="1"/>
  <c r="K746" i="1"/>
  <c r="K744" i="1"/>
  <c r="K742" i="1"/>
  <c r="K740" i="1"/>
  <c r="K738" i="1"/>
  <c r="K736" i="1"/>
  <c r="K734" i="1"/>
  <c r="K732" i="1"/>
  <c r="K730" i="1"/>
  <c r="K728" i="1"/>
  <c r="K726" i="1"/>
  <c r="K724" i="1"/>
  <c r="K722" i="1"/>
  <c r="K720" i="1"/>
  <c r="K718" i="1"/>
  <c r="K716" i="1"/>
  <c r="K714" i="1"/>
  <c r="K712" i="1"/>
  <c r="K710" i="1"/>
  <c r="K708" i="1"/>
  <c r="K706" i="1"/>
  <c r="K704" i="1"/>
  <c r="K702" i="1"/>
  <c r="K700" i="1"/>
  <c r="K698" i="1"/>
  <c r="K696" i="1"/>
  <c r="K694" i="1"/>
  <c r="K692" i="1"/>
  <c r="K690" i="1"/>
  <c r="K688" i="1"/>
  <c r="K686" i="1"/>
  <c r="K684" i="1"/>
  <c r="K682" i="1"/>
  <c r="K680" i="1"/>
  <c r="K678" i="1"/>
  <c r="K676" i="1"/>
  <c r="K674" i="1"/>
  <c r="K672" i="1"/>
  <c r="K670" i="1"/>
  <c r="K668" i="1"/>
  <c r="K666" i="1"/>
  <c r="K664" i="1"/>
  <c r="K662" i="1"/>
  <c r="K660" i="1"/>
  <c r="K658" i="1"/>
  <c r="K656" i="1"/>
  <c r="K654" i="1"/>
  <c r="K652" i="1"/>
  <c r="K650" i="1"/>
  <c r="K648" i="1"/>
  <c r="K646" i="1"/>
  <c r="K644" i="1"/>
  <c r="K642" i="1"/>
  <c r="K640" i="1"/>
  <c r="K638" i="1"/>
  <c r="K636" i="1"/>
  <c r="K634" i="1"/>
  <c r="K632" i="1"/>
  <c r="K630" i="1"/>
  <c r="K628" i="1"/>
  <c r="K626" i="1"/>
  <c r="K624" i="1"/>
  <c r="K622" i="1"/>
  <c r="K620" i="1"/>
  <c r="K618" i="1"/>
  <c r="K616" i="1"/>
  <c r="K614" i="1"/>
  <c r="K612" i="1"/>
  <c r="K610" i="1"/>
  <c r="K608" i="1"/>
  <c r="K606" i="1"/>
  <c r="K604" i="1"/>
  <c r="K602" i="1"/>
  <c r="K600" i="1"/>
  <c r="K598" i="1"/>
  <c r="K596" i="1"/>
  <c r="K594" i="1"/>
  <c r="K592" i="1"/>
  <c r="K590" i="1"/>
  <c r="K588" i="1"/>
  <c r="K586" i="1"/>
  <c r="K584" i="1"/>
  <c r="K582" i="1"/>
  <c r="K580" i="1"/>
  <c r="K578" i="1"/>
  <c r="K576" i="1"/>
  <c r="K574" i="1"/>
  <c r="K572" i="1"/>
  <c r="K570" i="1"/>
  <c r="K568" i="1"/>
  <c r="K566" i="1"/>
  <c r="K564" i="1"/>
  <c r="K562" i="1"/>
  <c r="K560" i="1"/>
  <c r="K558" i="1"/>
  <c r="K556" i="1"/>
  <c r="K554" i="1"/>
  <c r="K552" i="1"/>
  <c r="K550" i="1"/>
  <c r="K548" i="1"/>
  <c r="K546" i="1"/>
  <c r="K544" i="1"/>
  <c r="K542" i="1"/>
  <c r="K540" i="1"/>
  <c r="K538" i="1"/>
  <c r="K536" i="1"/>
  <c r="K534" i="1"/>
  <c r="K532" i="1"/>
  <c r="K530" i="1"/>
  <c r="K528" i="1"/>
  <c r="K526" i="1"/>
  <c r="K524" i="1"/>
  <c r="K522" i="1"/>
  <c r="K520" i="1"/>
  <c r="K518" i="1"/>
  <c r="K516" i="1"/>
  <c r="K514" i="1"/>
  <c r="K512" i="1"/>
  <c r="K510" i="1"/>
  <c r="K508" i="1"/>
  <c r="K506" i="1"/>
  <c r="K504" i="1"/>
  <c r="K502" i="1"/>
  <c r="K500" i="1"/>
  <c r="K498" i="1"/>
  <c r="K496" i="1"/>
  <c r="K494" i="1"/>
  <c r="K492" i="1"/>
  <c r="K490" i="1"/>
  <c r="K488" i="1"/>
  <c r="K486" i="1"/>
  <c r="K484" i="1"/>
  <c r="K482" i="1"/>
  <c r="K480" i="1"/>
  <c r="K478" i="1"/>
  <c r="K476" i="1"/>
  <c r="K474" i="1"/>
  <c r="K472" i="1"/>
  <c r="K470" i="1"/>
  <c r="K468" i="1"/>
  <c r="K466" i="1"/>
  <c r="K464" i="1"/>
  <c r="K462" i="1"/>
  <c r="K460" i="1"/>
  <c r="K458" i="1"/>
  <c r="K456" i="1"/>
  <c r="K454" i="1"/>
  <c r="K452" i="1"/>
  <c r="K450" i="1"/>
  <c r="K448" i="1"/>
  <c r="K446" i="1"/>
  <c r="K444" i="1"/>
  <c r="K442" i="1"/>
  <c r="K440" i="1"/>
  <c r="K438" i="1"/>
  <c r="K436" i="1"/>
  <c r="K434" i="1"/>
  <c r="K432" i="1"/>
  <c r="K430" i="1"/>
  <c r="K428" i="1"/>
  <c r="K426" i="1"/>
  <c r="K424" i="1"/>
  <c r="K422" i="1"/>
  <c r="K420" i="1"/>
  <c r="K418" i="1"/>
  <c r="K416" i="1"/>
  <c r="K414" i="1"/>
  <c r="K412" i="1"/>
  <c r="K410" i="1"/>
  <c r="K408" i="1"/>
  <c r="K406" i="1"/>
  <c r="K404" i="1"/>
  <c r="K402" i="1"/>
  <c r="K400" i="1"/>
  <c r="K398" i="1"/>
  <c r="K396" i="1"/>
  <c r="K394" i="1"/>
  <c r="K392" i="1"/>
  <c r="K390" i="1"/>
  <c r="K388" i="1"/>
  <c r="K386" i="1"/>
  <c r="K384" i="1"/>
  <c r="K382" i="1"/>
  <c r="K380" i="1"/>
  <c r="K378" i="1"/>
  <c r="K376" i="1"/>
  <c r="K374" i="1"/>
  <c r="K372" i="1"/>
  <c r="K370" i="1"/>
  <c r="K368" i="1"/>
  <c r="K366" i="1"/>
  <c r="K364" i="1"/>
  <c r="K362" i="1"/>
  <c r="K360" i="1"/>
  <c r="K358" i="1"/>
  <c r="K356" i="1"/>
  <c r="K354" i="1"/>
  <c r="K352" i="1"/>
  <c r="K350" i="1"/>
  <c r="K348" i="1"/>
  <c r="K346" i="1"/>
  <c r="K344" i="1"/>
  <c r="K342" i="1"/>
  <c r="K340" i="1"/>
  <c r="K338" i="1"/>
  <c r="K336" i="1"/>
  <c r="K334" i="1"/>
  <c r="K332" i="1"/>
  <c r="K330" i="1"/>
  <c r="K328" i="1"/>
  <c r="K326" i="1"/>
  <c r="K324" i="1"/>
  <c r="K322" i="1"/>
  <c r="K320" i="1"/>
  <c r="K318" i="1"/>
  <c r="K316" i="1"/>
  <c r="K314" i="1"/>
  <c r="K312" i="1"/>
  <c r="K310" i="1"/>
  <c r="K308" i="1"/>
  <c r="K306" i="1"/>
  <c r="K304" i="1"/>
  <c r="K302" i="1"/>
  <c r="K300" i="1"/>
  <c r="K298" i="1"/>
  <c r="K296" i="1"/>
  <c r="K294" i="1"/>
  <c r="K292" i="1"/>
  <c r="K290" i="1"/>
  <c r="K288" i="1"/>
  <c r="K286" i="1"/>
  <c r="K284" i="1"/>
  <c r="K282" i="1"/>
  <c r="K280" i="1"/>
  <c r="K278" i="1"/>
  <c r="K276" i="1"/>
  <c r="K274" i="1"/>
  <c r="K272" i="1"/>
  <c r="K270" i="1"/>
  <c r="K268" i="1"/>
  <c r="K266" i="1"/>
  <c r="K264" i="1"/>
  <c r="K262" i="1"/>
  <c r="K260" i="1"/>
  <c r="K258" i="1"/>
  <c r="K256" i="1"/>
  <c r="K254" i="1"/>
  <c r="K252" i="1"/>
  <c r="K250" i="1"/>
  <c r="K248" i="1"/>
  <c r="K246" i="1"/>
  <c r="K244" i="1"/>
  <c r="K242" i="1"/>
  <c r="K240" i="1"/>
  <c r="K238" i="1"/>
  <c r="K236" i="1"/>
  <c r="K234" i="1"/>
  <c r="K232" i="1"/>
  <c r="K230" i="1"/>
  <c r="K228" i="1"/>
  <c r="K226" i="1"/>
  <c r="K224" i="1"/>
  <c r="K222" i="1"/>
  <c r="K220" i="1"/>
  <c r="K218" i="1"/>
  <c r="K216" i="1"/>
  <c r="K214" i="1"/>
  <c r="K212" i="1"/>
  <c r="K210" i="1"/>
  <c r="K208" i="1"/>
  <c r="K206" i="1"/>
  <c r="K204" i="1"/>
  <c r="K202" i="1"/>
  <c r="K200" i="1"/>
  <c r="K198" i="1"/>
  <c r="K196" i="1"/>
  <c r="K194" i="1"/>
  <c r="K192" i="1"/>
  <c r="K190" i="1"/>
  <c r="K188" i="1"/>
  <c r="K186" i="1"/>
  <c r="K184" i="1"/>
  <c r="K182" i="1"/>
  <c r="K180" i="1"/>
  <c r="K178" i="1"/>
  <c r="K176" i="1"/>
  <c r="K174" i="1"/>
  <c r="K172" i="1"/>
  <c r="K170" i="1"/>
  <c r="K168" i="1"/>
  <c r="K166" i="1"/>
  <c r="K164" i="1"/>
  <c r="K162" i="1"/>
  <c r="K160" i="1"/>
  <c r="K158" i="1"/>
  <c r="K156" i="1"/>
  <c r="K154" i="1"/>
  <c r="K152" i="1"/>
  <c r="K150" i="1"/>
  <c r="K148" i="1"/>
  <c r="K146" i="1"/>
  <c r="K144" i="1"/>
  <c r="K142" i="1"/>
  <c r="K140" i="1"/>
  <c r="K138" i="1"/>
  <c r="K136" i="1"/>
  <c r="K134" i="1"/>
  <c r="K132" i="1"/>
  <c r="K130" i="1"/>
  <c r="K128" i="1"/>
  <c r="K126" i="1"/>
  <c r="K124" i="1"/>
  <c r="K122" i="1"/>
  <c r="K120" i="1"/>
  <c r="K118" i="1"/>
  <c r="K116" i="1"/>
  <c r="K114" i="1"/>
  <c r="K112" i="1"/>
  <c r="K110" i="1"/>
  <c r="K108" i="1"/>
  <c r="K106" i="1"/>
  <c r="K104" i="1"/>
  <c r="K102" i="1"/>
  <c r="K100" i="1"/>
  <c r="K98" i="1"/>
  <c r="K96" i="1"/>
  <c r="K94" i="1"/>
  <c r="K92" i="1"/>
  <c r="K90" i="1"/>
  <c r="K88" i="1"/>
  <c r="K86" i="1"/>
  <c r="K84" i="1"/>
  <c r="K82" i="1"/>
  <c r="K80" i="1"/>
  <c r="K78" i="1"/>
  <c r="K76" i="1"/>
  <c r="K74" i="1"/>
  <c r="K72" i="1"/>
  <c r="K70" i="1"/>
  <c r="K68" i="1"/>
  <c r="K66" i="1"/>
  <c r="K64" i="1"/>
  <c r="K62" i="1"/>
  <c r="K60" i="1"/>
  <c r="K58" i="1"/>
  <c r="K56" i="1"/>
  <c r="K54" i="1"/>
  <c r="K52" i="1"/>
  <c r="K50" i="1"/>
  <c r="K48" i="1"/>
  <c r="K46" i="1"/>
  <c r="K44" i="1"/>
  <c r="K42" i="1"/>
  <c r="K40" i="1"/>
  <c r="K38" i="1"/>
  <c r="K36" i="1"/>
  <c r="K34" i="1"/>
  <c r="K32" i="1"/>
  <c r="K30" i="1"/>
  <c r="K28" i="1"/>
  <c r="K26" i="1"/>
  <c r="K24" i="1"/>
  <c r="K22" i="1"/>
  <c r="K20" i="1"/>
  <c r="K18" i="1"/>
  <c r="K16" i="1"/>
  <c r="K14" i="1"/>
  <c r="K12" i="1"/>
  <c r="K10" i="1"/>
  <c r="K8" i="1"/>
  <c r="K6" i="1"/>
  <c r="K4" i="1"/>
  <c r="K2" i="1"/>
  <c r="L2" i="1" l="1"/>
  <c r="M772" i="1" s="1"/>
  <c r="N772" i="1" s="1"/>
  <c r="M100" i="1"/>
  <c r="N100" i="1" s="1"/>
  <c r="M594" i="1"/>
  <c r="N594" i="1" s="1"/>
  <c r="M18" i="1"/>
  <c r="N18" i="1" s="1"/>
  <c r="M346" i="1"/>
  <c r="N346" i="1" s="1"/>
  <c r="M186" i="1"/>
  <c r="N186" i="1" s="1"/>
  <c r="M268" i="1"/>
  <c r="N268" i="1" s="1"/>
  <c r="M44" i="1"/>
  <c r="N44" i="1" s="1"/>
  <c r="M128" i="1"/>
  <c r="N128" i="1" s="1"/>
  <c r="M372" i="1"/>
  <c r="N372" i="1" s="1"/>
  <c r="M458" i="1"/>
  <c r="N458" i="1" s="1"/>
  <c r="M296" i="1"/>
  <c r="N296" i="1" s="1"/>
  <c r="M378" i="1"/>
  <c r="N378" i="1" s="1"/>
  <c r="M626" i="1"/>
  <c r="N626" i="1" s="1"/>
  <c r="M722" i="1"/>
  <c r="N722" i="1" s="1"/>
  <c r="M776" i="1"/>
  <c r="N776" i="1" s="1"/>
  <c r="M298" i="1"/>
  <c r="N298" i="1" s="1"/>
  <c r="M380" i="1"/>
  <c r="N380" i="1" s="1"/>
  <c r="M628" i="1"/>
  <c r="N628" i="1" s="1"/>
  <c r="M724" i="1"/>
  <c r="N724" i="1" s="1"/>
  <c r="M138" i="1"/>
  <c r="N138" i="1" s="1"/>
  <c r="M548" i="1"/>
  <c r="N548" i="1" s="1"/>
  <c r="M632" i="1"/>
  <c r="N632" i="1" s="1"/>
  <c r="M106" i="1"/>
  <c r="N106" i="1" s="1"/>
  <c r="M228" i="1"/>
  <c r="N228" i="1" s="1"/>
  <c r="M394" i="1"/>
  <c r="N394" i="1" s="1"/>
  <c r="M356" i="1"/>
  <c r="N356" i="1" s="1"/>
  <c r="M396" i="1"/>
  <c r="N396" i="1" s="1"/>
  <c r="M522" i="1"/>
  <c r="N522" i="1" s="1"/>
  <c r="M604" i="1"/>
  <c r="N604" i="1" s="1"/>
  <c r="M768" i="1"/>
  <c r="N768" i="1" s="1"/>
  <c r="M648" i="1"/>
  <c r="N648" i="1" s="1"/>
  <c r="M624" i="1"/>
  <c r="N624" i="1" s="1"/>
  <c r="M552" i="1"/>
  <c r="N552" i="1" s="1"/>
  <c r="M528" i="1"/>
  <c r="N528" i="1" s="1"/>
  <c r="M480" i="1"/>
  <c r="N480" i="1" s="1"/>
  <c r="M408" i="1"/>
  <c r="N408" i="1" s="1"/>
  <c r="M360" i="1"/>
  <c r="N360" i="1" s="1"/>
  <c r="M336" i="1"/>
  <c r="N336" i="1" s="1"/>
  <c r="M264" i="1"/>
  <c r="N264" i="1" s="1"/>
  <c r="M240" i="1"/>
  <c r="N240" i="1" s="1"/>
  <c r="M192" i="1"/>
  <c r="N192" i="1" s="1"/>
  <c r="M120" i="1"/>
  <c r="N120" i="1" s="1"/>
  <c r="M72" i="1"/>
  <c r="N72" i="1" s="1"/>
  <c r="M48" i="1"/>
  <c r="N48" i="1" s="1"/>
  <c r="M668" i="1"/>
  <c r="N668" i="1" s="1"/>
  <c r="M790" i="1"/>
  <c r="N790" i="1" s="1"/>
  <c r="M742" i="1"/>
  <c r="N742" i="1" s="1"/>
  <c r="M670" i="1"/>
  <c r="N670" i="1" s="1"/>
  <c r="M622" i="1"/>
  <c r="N622" i="1" s="1"/>
  <c r="M598" i="1"/>
  <c r="N598" i="1" s="1"/>
  <c r="M526" i="1"/>
  <c r="N526" i="1" s="1"/>
  <c r="M502" i="1"/>
  <c r="N502" i="1" s="1"/>
  <c r="M454" i="1"/>
  <c r="N454" i="1" s="1"/>
  <c r="M382" i="1"/>
  <c r="N382" i="1" s="1"/>
  <c r="M334" i="1"/>
  <c r="N334" i="1" s="1"/>
  <c r="M310" i="1"/>
  <c r="N310" i="1" s="1"/>
  <c r="M238" i="1"/>
  <c r="N238" i="1" s="1"/>
  <c r="M214" i="1"/>
  <c r="N214" i="1" s="1"/>
  <c r="M166" i="1"/>
  <c r="N166" i="1" s="1"/>
  <c r="M94" i="1"/>
  <c r="N94" i="1" s="1"/>
  <c r="M46" i="1"/>
  <c r="N46" i="1" s="1"/>
  <c r="M22" i="1"/>
  <c r="N22" i="1" s="1"/>
  <c r="M644" i="1"/>
  <c r="N644" i="1" s="1"/>
  <c r="M788" i="1"/>
  <c r="N788" i="1" s="1"/>
  <c r="M784" i="1"/>
  <c r="N784" i="1" s="1"/>
  <c r="M712" i="1"/>
  <c r="N712" i="1" s="1"/>
  <c r="M664" i="1"/>
  <c r="N664" i="1" s="1"/>
  <c r="M640" i="1"/>
  <c r="N640" i="1" s="1"/>
  <c r="M568" i="1"/>
  <c r="N568" i="1" s="1"/>
  <c r="M544" i="1"/>
  <c r="N544" i="1" s="1"/>
  <c r="M496" i="1"/>
  <c r="N496" i="1" s="1"/>
  <c r="M424" i="1"/>
  <c r="N424" i="1" s="1"/>
  <c r="M376" i="1"/>
  <c r="N376" i="1" s="1"/>
  <c r="M352" i="1"/>
  <c r="N352" i="1" s="1"/>
  <c r="M280" i="1"/>
  <c r="N280" i="1" s="1"/>
  <c r="M256" i="1"/>
  <c r="N256" i="1" s="1"/>
  <c r="M208" i="1"/>
  <c r="N208" i="1" s="1"/>
  <c r="M136" i="1"/>
  <c r="N136" i="1" s="1"/>
  <c r="M88" i="1"/>
  <c r="N88" i="1" s="1"/>
  <c r="M64" i="1"/>
  <c r="N64" i="1" s="1"/>
  <c r="M782" i="1"/>
  <c r="N782" i="1" s="1"/>
  <c r="M758" i="1"/>
  <c r="N758" i="1" s="1"/>
  <c r="M710" i="1"/>
  <c r="N710" i="1" s="1"/>
  <c r="M638" i="1"/>
  <c r="N638" i="1" s="1"/>
  <c r="M590" i="1"/>
  <c r="N590" i="1" s="1"/>
  <c r="M566" i="1"/>
  <c r="N566" i="1" s="1"/>
  <c r="M494" i="1"/>
  <c r="N494" i="1" s="1"/>
  <c r="M470" i="1"/>
  <c r="N470" i="1" s="1"/>
  <c r="M422" i="1"/>
  <c r="N422" i="1" s="1"/>
  <c r="M350" i="1"/>
  <c r="N350" i="1" s="1"/>
  <c r="M302" i="1"/>
  <c r="N302" i="1" s="1"/>
  <c r="M278" i="1"/>
  <c r="N278" i="1" s="1"/>
  <c r="M206" i="1"/>
  <c r="N206" i="1" s="1"/>
  <c r="M182" i="1"/>
  <c r="N182" i="1" s="1"/>
  <c r="M134" i="1"/>
  <c r="N134" i="1" s="1"/>
  <c r="M62" i="1"/>
  <c r="N62" i="1" s="1"/>
  <c r="M14" i="1"/>
  <c r="N14" i="1" s="1"/>
  <c r="M798" i="1"/>
  <c r="N798" i="1" s="1"/>
  <c r="M726" i="1"/>
  <c r="N726" i="1" s="1"/>
  <c r="M702" i="1"/>
  <c r="N702" i="1" s="1"/>
  <c r="M654" i="1"/>
  <c r="N654" i="1" s="1"/>
  <c r="M582" i="1"/>
  <c r="N582" i="1" s="1"/>
  <c r="M534" i="1"/>
  <c r="N534" i="1" s="1"/>
  <c r="M510" i="1"/>
  <c r="N510" i="1" s="1"/>
  <c r="M438" i="1"/>
  <c r="N438" i="1" s="1"/>
  <c r="M414" i="1"/>
  <c r="N414" i="1" s="1"/>
  <c r="M366" i="1"/>
  <c r="N366" i="1" s="1"/>
  <c r="M294" i="1"/>
  <c r="N294" i="1" s="1"/>
  <c r="M246" i="1"/>
  <c r="N246" i="1" s="1"/>
  <c r="M222" i="1"/>
  <c r="N222" i="1" s="1"/>
  <c r="M150" i="1"/>
  <c r="N150" i="1" s="1"/>
  <c r="M126" i="1"/>
  <c r="N126" i="1" s="1"/>
  <c r="M78" i="1"/>
  <c r="N78" i="1" s="1"/>
  <c r="M6" i="1"/>
  <c r="N6" i="1" s="1"/>
  <c r="M194" i="1"/>
  <c r="N194" i="1" s="1"/>
  <c r="M562" i="1"/>
  <c r="N562" i="1" s="1"/>
  <c r="M74" i="1"/>
  <c r="N74" i="1" s="1"/>
  <c r="M114" i="1"/>
  <c r="N114" i="1" s="1"/>
  <c r="M154" i="1"/>
  <c r="N154" i="1" s="1"/>
  <c r="M236" i="1"/>
  <c r="N236" i="1" s="1"/>
  <c r="M362" i="1"/>
  <c r="N362" i="1" s="1"/>
  <c r="M442" i="1"/>
  <c r="N442" i="1" s="1"/>
  <c r="M484" i="1"/>
  <c r="N484" i="1" s="1"/>
  <c r="M564" i="1"/>
  <c r="N564" i="1" s="1"/>
  <c r="M608" i="1"/>
  <c r="N608" i="1" s="1"/>
  <c r="M652" i="1"/>
  <c r="N652" i="1" s="1"/>
  <c r="M748" i="1"/>
  <c r="N748" i="1" s="1"/>
  <c r="M188" i="1"/>
  <c r="N188" i="1" s="1"/>
  <c r="M436" i="1"/>
  <c r="N436" i="1" s="1"/>
  <c r="M602" i="1"/>
  <c r="N602" i="1" s="1"/>
  <c r="M68" i="1"/>
  <c r="N68" i="1" s="1"/>
  <c r="M234" i="1"/>
  <c r="N234" i="1" s="1"/>
  <c r="M698" i="1"/>
  <c r="N698" i="1" s="1"/>
  <c r="M76" i="1"/>
  <c r="N76" i="1" s="1"/>
  <c r="M200" i="1"/>
  <c r="N200" i="1" s="1"/>
  <c r="M282" i="1"/>
  <c r="N282" i="1" s="1"/>
  <c r="M322" i="1"/>
  <c r="N322" i="1" s="1"/>
  <c r="M404" i="1"/>
  <c r="N404" i="1" s="1"/>
  <c r="M444" i="1"/>
  <c r="N444" i="1" s="1"/>
  <c r="M488" i="1"/>
  <c r="N488" i="1" s="1"/>
  <c r="M570" i="1"/>
  <c r="N570" i="1" s="1"/>
  <c r="M704" i="1"/>
  <c r="N704" i="1" s="1"/>
  <c r="M800" i="1"/>
  <c r="N800" i="1" s="1"/>
  <c r="M476" i="1"/>
  <c r="N476" i="1" s="1"/>
  <c r="M650" i="1"/>
  <c r="N650" i="1" s="1"/>
  <c r="M36" i="1"/>
  <c r="N36" i="1" s="1"/>
  <c r="M80" i="1"/>
  <c r="N80" i="1" s="1"/>
  <c r="M162" i="1"/>
  <c r="N162" i="1" s="1"/>
  <c r="M284" i="1"/>
  <c r="N284" i="1" s="1"/>
  <c r="M368" i="1"/>
  <c r="N368" i="1" s="1"/>
  <c r="M410" i="1"/>
  <c r="N410" i="1" s="1"/>
  <c r="M490" i="1"/>
  <c r="N490" i="1" s="1"/>
  <c r="M532" i="1"/>
  <c r="N532" i="1" s="1"/>
  <c r="M572" i="1"/>
  <c r="N572" i="1" s="1"/>
  <c r="M658" i="1"/>
  <c r="N658" i="1" s="1"/>
  <c r="M148" i="1"/>
  <c r="N148" i="1" s="1"/>
  <c r="M516" i="1"/>
  <c r="N516" i="1" s="1"/>
  <c r="M690" i="1"/>
  <c r="N690" i="1" s="1"/>
  <c r="M28" i="1"/>
  <c r="N28" i="1" s="1"/>
  <c r="M274" i="1"/>
  <c r="N274" i="1" s="1"/>
  <c r="M746" i="1"/>
  <c r="N746" i="1" s="1"/>
  <c r="M2" i="1"/>
  <c r="N2" i="1" s="1"/>
  <c r="M82" i="1"/>
  <c r="N82" i="1" s="1"/>
  <c r="M204" i="1"/>
  <c r="N204" i="1" s="1"/>
  <c r="M290" i="1"/>
  <c r="N290" i="1" s="1"/>
  <c r="M330" i="1"/>
  <c r="N330" i="1" s="1"/>
  <c r="M370" i="1"/>
  <c r="N370" i="1" s="1"/>
  <c r="M412" i="1"/>
  <c r="N412" i="1" s="1"/>
  <c r="M452" i="1"/>
  <c r="N452" i="1" s="1"/>
  <c r="M492" i="1"/>
  <c r="N492" i="1" s="1"/>
  <c r="M578" i="1"/>
  <c r="N578" i="1" s="1"/>
  <c r="M708" i="1"/>
  <c r="N708" i="1" s="1"/>
  <c r="M512" i="1" l="1"/>
  <c r="N512" i="1" s="1"/>
  <c r="M174" i="1"/>
  <c r="N174" i="1" s="1"/>
  <c r="M462" i="1"/>
  <c r="N462" i="1" s="1"/>
  <c r="M750" i="1"/>
  <c r="N750" i="1" s="1"/>
  <c r="M230" i="1"/>
  <c r="N230" i="1" s="1"/>
  <c r="M518" i="1"/>
  <c r="N518" i="1" s="1"/>
  <c r="M16" i="1"/>
  <c r="N16" i="1" s="1"/>
  <c r="M304" i="1"/>
  <c r="N304" i="1" s="1"/>
  <c r="M592" i="1"/>
  <c r="N592" i="1" s="1"/>
  <c r="M692" i="1"/>
  <c r="N692" i="1" s="1"/>
  <c r="M262" i="1"/>
  <c r="N262" i="1" s="1"/>
  <c r="M550" i="1"/>
  <c r="N550" i="1" s="1"/>
  <c r="M740" i="1"/>
  <c r="N740" i="1" s="1"/>
  <c r="M288" i="1"/>
  <c r="N288" i="1" s="1"/>
  <c r="M576" i="1"/>
  <c r="N576" i="1" s="1"/>
  <c r="M482" i="1"/>
  <c r="N482" i="1" s="1"/>
  <c r="M26" i="1"/>
  <c r="N26" i="1" s="1"/>
  <c r="M546" i="1"/>
  <c r="N546" i="1" s="1"/>
  <c r="M540" i="1"/>
  <c r="N540" i="1" s="1"/>
  <c r="M292" i="1"/>
  <c r="N292" i="1" s="1"/>
  <c r="M104" i="1"/>
  <c r="N104" i="1" s="1"/>
  <c r="M428" i="1"/>
  <c r="N428" i="1" s="1"/>
  <c r="M450" i="1"/>
  <c r="N450" i="1" s="1"/>
  <c r="M316" i="1"/>
  <c r="N316" i="1" s="1"/>
  <c r="M364" i="1"/>
  <c r="N364" i="1" s="1"/>
  <c r="M738" i="1"/>
  <c r="N738" i="1" s="1"/>
  <c r="M524" i="1"/>
  <c r="N524" i="1" s="1"/>
  <c r="M32" i="1"/>
  <c r="N32" i="1" s="1"/>
  <c r="M198" i="1"/>
  <c r="N198" i="1" s="1"/>
  <c r="M486" i="1"/>
  <c r="N486" i="1" s="1"/>
  <c r="M774" i="1"/>
  <c r="N774" i="1" s="1"/>
  <c r="M254" i="1"/>
  <c r="N254" i="1" s="1"/>
  <c r="M542" i="1"/>
  <c r="N542" i="1" s="1"/>
  <c r="M40" i="1"/>
  <c r="N40" i="1" s="1"/>
  <c r="M328" i="1"/>
  <c r="N328" i="1" s="1"/>
  <c r="M616" i="1"/>
  <c r="N616" i="1" s="1"/>
  <c r="M764" i="1"/>
  <c r="N764" i="1" s="1"/>
  <c r="M286" i="1"/>
  <c r="N286" i="1" s="1"/>
  <c r="M574" i="1"/>
  <c r="N574" i="1" s="1"/>
  <c r="M24" i="1"/>
  <c r="N24" i="1" s="1"/>
  <c r="M312" i="1"/>
  <c r="N312" i="1" s="1"/>
  <c r="M600" i="1"/>
  <c r="N600" i="1" s="1"/>
  <c r="M440" i="1"/>
  <c r="N440" i="1" s="1"/>
  <c r="M728" i="1"/>
  <c r="N728" i="1" s="1"/>
  <c r="M464" i="1"/>
  <c r="N464" i="1" s="1"/>
  <c r="M460" i="1"/>
  <c r="N460" i="1" s="1"/>
  <c r="M210" i="1"/>
  <c r="N210" i="1" s="1"/>
  <c r="M20" i="1"/>
  <c r="N20" i="1" s="1"/>
  <c r="M180" i="1"/>
  <c r="N180" i="1" s="1"/>
  <c r="M680" i="1"/>
  <c r="N680" i="1" s="1"/>
  <c r="M756" i="1"/>
  <c r="N756" i="1" s="1"/>
  <c r="M248" i="1"/>
  <c r="N248" i="1" s="1"/>
  <c r="M354" i="1"/>
  <c r="N354" i="1" s="1"/>
  <c r="M324" i="1"/>
  <c r="N324" i="1" s="1"/>
  <c r="M752" i="1"/>
  <c r="N752" i="1" s="1"/>
  <c r="M242" i="1"/>
  <c r="N242" i="1" s="1"/>
  <c r="M314" i="1"/>
  <c r="N314" i="1" s="1"/>
  <c r="M402" i="1"/>
  <c r="N402" i="1" s="1"/>
  <c r="M108" i="1"/>
  <c r="N108" i="1" s="1"/>
  <c r="M270" i="1"/>
  <c r="N270" i="1" s="1"/>
  <c r="M558" i="1"/>
  <c r="N558" i="1" s="1"/>
  <c r="M38" i="1"/>
  <c r="N38" i="1" s="1"/>
  <c r="M326" i="1"/>
  <c r="N326" i="1" s="1"/>
  <c r="M614" i="1"/>
  <c r="N614" i="1" s="1"/>
  <c r="M112" i="1"/>
  <c r="N112" i="1" s="1"/>
  <c r="M400" i="1"/>
  <c r="N400" i="1" s="1"/>
  <c r="M688" i="1"/>
  <c r="N688" i="1" s="1"/>
  <c r="M70" i="1"/>
  <c r="N70" i="1" s="1"/>
  <c r="M358" i="1"/>
  <c r="N358" i="1" s="1"/>
  <c r="M646" i="1"/>
  <c r="N646" i="1" s="1"/>
  <c r="M96" i="1"/>
  <c r="N96" i="1" s="1"/>
  <c r="M384" i="1"/>
  <c r="N384" i="1" s="1"/>
  <c r="M672" i="1"/>
  <c r="N672" i="1" s="1"/>
  <c r="M152" i="1"/>
  <c r="N152" i="1" s="1"/>
  <c r="M466" i="1"/>
  <c r="N466" i="1" s="1"/>
  <c r="M218" i="1"/>
  <c r="N218" i="1" s="1"/>
  <c r="M212" i="1"/>
  <c r="N212" i="1" s="1"/>
  <c r="M780" i="1"/>
  <c r="N780" i="1" s="1"/>
  <c r="M588" i="1"/>
  <c r="N588" i="1" s="1"/>
  <c r="M426" i="1"/>
  <c r="N426" i="1" s="1"/>
  <c r="M696" i="1"/>
  <c r="N696" i="1" s="1"/>
  <c r="M386" i="1"/>
  <c r="N386" i="1" s="1"/>
  <c r="M132" i="1"/>
  <c r="N132" i="1" s="1"/>
  <c r="M684" i="1"/>
  <c r="N684" i="1" s="1"/>
  <c r="M260" i="1"/>
  <c r="N260" i="1" s="1"/>
  <c r="M164" i="1"/>
  <c r="N164" i="1" s="1"/>
  <c r="M244" i="1"/>
  <c r="N244" i="1" s="1"/>
  <c r="M156" i="1"/>
  <c r="N156" i="1" s="1"/>
  <c r="M66" i="1"/>
  <c r="N66" i="1" s="1"/>
  <c r="M320" i="1"/>
  <c r="N320" i="1" s="1"/>
  <c r="M30" i="1"/>
  <c r="N30" i="1" s="1"/>
  <c r="M318" i="1"/>
  <c r="N318" i="1" s="1"/>
  <c r="M606" i="1"/>
  <c r="N606" i="1" s="1"/>
  <c r="M86" i="1"/>
  <c r="N86" i="1" s="1"/>
  <c r="M374" i="1"/>
  <c r="N374" i="1" s="1"/>
  <c r="M662" i="1"/>
  <c r="N662" i="1" s="1"/>
  <c r="M160" i="1"/>
  <c r="N160" i="1" s="1"/>
  <c r="M448" i="1"/>
  <c r="N448" i="1" s="1"/>
  <c r="M736" i="1"/>
  <c r="N736" i="1" s="1"/>
  <c r="M118" i="1"/>
  <c r="N118" i="1" s="1"/>
  <c r="M406" i="1"/>
  <c r="N406" i="1" s="1"/>
  <c r="M694" i="1"/>
  <c r="N694" i="1" s="1"/>
  <c r="M144" i="1"/>
  <c r="N144" i="1" s="1"/>
  <c r="M432" i="1"/>
  <c r="N432" i="1" s="1"/>
  <c r="M720" i="1"/>
  <c r="N720" i="1" s="1"/>
  <c r="M642" i="1"/>
  <c r="N642" i="1" s="1"/>
  <c r="M300" i="1"/>
  <c r="N300" i="1" s="1"/>
  <c r="M52" i="1"/>
  <c r="N52" i="1" s="1"/>
  <c r="M50" i="1"/>
  <c r="N50" i="1" s="1"/>
  <c r="M596" i="1"/>
  <c r="N596" i="1" s="1"/>
  <c r="M98" i="1"/>
  <c r="N98" i="1" s="1"/>
  <c r="M12" i="1"/>
  <c r="N12" i="1" s="1"/>
  <c r="M786" i="1"/>
  <c r="N786" i="1" s="1"/>
  <c r="M130" i="1"/>
  <c r="N130" i="1" s="1"/>
  <c r="M344" i="1"/>
  <c r="N344" i="1" s="1"/>
  <c r="M660" i="1"/>
  <c r="N660" i="1" s="1"/>
  <c r="M754" i="1"/>
  <c r="N754" i="1" s="1"/>
  <c r="M656" i="1"/>
  <c r="N656" i="1" s="1"/>
  <c r="M618" i="1"/>
  <c r="N618" i="1" s="1"/>
  <c r="M124" i="1"/>
  <c r="N124" i="1" s="1"/>
  <c r="M706" i="1"/>
  <c r="N706" i="1" s="1"/>
  <c r="M202" i="1"/>
  <c r="N202" i="1" s="1"/>
  <c r="M610" i="1"/>
  <c r="N610" i="1" s="1"/>
  <c r="M116" i="1"/>
  <c r="N116" i="1" s="1"/>
  <c r="M796" i="1"/>
  <c r="N796" i="1" s="1"/>
  <c r="M276" i="1"/>
  <c r="N276" i="1" s="1"/>
  <c r="M54" i="1"/>
  <c r="N54" i="1" s="1"/>
  <c r="M342" i="1"/>
  <c r="N342" i="1" s="1"/>
  <c r="M630" i="1"/>
  <c r="N630" i="1" s="1"/>
  <c r="M110" i="1"/>
  <c r="N110" i="1" s="1"/>
  <c r="M398" i="1"/>
  <c r="N398" i="1" s="1"/>
  <c r="M686" i="1"/>
  <c r="N686" i="1" s="1"/>
  <c r="M184" i="1"/>
  <c r="N184" i="1" s="1"/>
  <c r="M472" i="1"/>
  <c r="N472" i="1" s="1"/>
  <c r="M760" i="1"/>
  <c r="N760" i="1" s="1"/>
  <c r="M142" i="1"/>
  <c r="N142" i="1" s="1"/>
  <c r="M430" i="1"/>
  <c r="N430" i="1" s="1"/>
  <c r="M718" i="1"/>
  <c r="N718" i="1" s="1"/>
  <c r="M168" i="1"/>
  <c r="N168" i="1" s="1"/>
  <c r="M456" i="1"/>
  <c r="N456" i="1" s="1"/>
  <c r="M744" i="1"/>
  <c r="N744" i="1" s="1"/>
  <c r="M560" i="1"/>
  <c r="N560" i="1" s="1"/>
  <c r="M220" i="1"/>
  <c r="N220" i="1" s="1"/>
  <c r="M266" i="1"/>
  <c r="N266" i="1" s="1"/>
  <c r="M714" i="1"/>
  <c r="N714" i="1" s="1"/>
  <c r="M514" i="1"/>
  <c r="N514" i="1" s="1"/>
  <c r="M676" i="1"/>
  <c r="N676" i="1" s="1"/>
  <c r="M794" i="1"/>
  <c r="N794" i="1" s="1"/>
  <c r="M556" i="1"/>
  <c r="N556" i="1" s="1"/>
  <c r="M340" i="1"/>
  <c r="N340" i="1" s="1"/>
  <c r="M172" i="1"/>
  <c r="N172" i="1" s="1"/>
  <c r="M146" i="1"/>
  <c r="N146" i="1" s="1"/>
  <c r="M770" i="1"/>
  <c r="N770" i="1" s="1"/>
  <c r="M762" i="1"/>
  <c r="N762" i="1" s="1"/>
  <c r="M732" i="1"/>
  <c r="N732" i="1" s="1"/>
  <c r="M500" i="1"/>
  <c r="N500" i="1" s="1"/>
  <c r="M308" i="1"/>
  <c r="N308" i="1" s="1"/>
  <c r="M140" i="1"/>
  <c r="N140" i="1" s="1"/>
  <c r="M474" i="1"/>
  <c r="N474" i="1" s="1"/>
  <c r="M90" i="1"/>
  <c r="N90" i="1" s="1"/>
  <c r="M418" i="1"/>
  <c r="N418" i="1" s="1"/>
  <c r="M226" i="1"/>
  <c r="N226" i="1" s="1"/>
  <c r="M586" i="1"/>
  <c r="N586" i="1" s="1"/>
  <c r="M554" i="1"/>
  <c r="N554" i="1" s="1"/>
  <c r="M506" i="1"/>
  <c r="N506" i="1" s="1"/>
  <c r="M730" i="1"/>
  <c r="N730" i="1" s="1"/>
  <c r="M498" i="1"/>
  <c r="N498" i="1" s="1"/>
  <c r="M306" i="1"/>
  <c r="N306" i="1" s="1"/>
  <c r="M92" i="1"/>
  <c r="N92" i="1" s="1"/>
  <c r="M674" i="1"/>
  <c r="N674" i="1" s="1"/>
  <c r="M258" i="1"/>
  <c r="N258" i="1" s="1"/>
  <c r="M634" i="1"/>
  <c r="N634" i="1" s="1"/>
  <c r="M58" i="1"/>
  <c r="N58" i="1" s="1"/>
  <c r="M416" i="1"/>
  <c r="N416" i="1" s="1"/>
  <c r="M10" i="1"/>
  <c r="N10" i="1" s="1"/>
  <c r="M584" i="1"/>
  <c r="N584" i="1" s="1"/>
  <c r="M392" i="1"/>
  <c r="N392" i="1" s="1"/>
  <c r="M8" i="1"/>
  <c r="N8" i="1" s="1"/>
  <c r="M176" i="1"/>
  <c r="N176" i="1" s="1"/>
  <c r="M170" i="1"/>
  <c r="N170" i="1" s="1"/>
  <c r="M332" i="1"/>
  <c r="N332" i="1" s="1"/>
  <c r="M666" i="1"/>
  <c r="N666" i="1" s="1"/>
  <c r="M468" i="1"/>
  <c r="N468" i="1" s="1"/>
  <c r="M252" i="1"/>
  <c r="N252" i="1" s="1"/>
  <c r="M84" i="1"/>
  <c r="N84" i="1" s="1"/>
  <c r="M224" i="1"/>
  <c r="N224" i="1" s="1"/>
  <c r="M178" i="1"/>
  <c r="N178" i="1" s="1"/>
  <c r="M388" i="1"/>
  <c r="N388" i="1" s="1"/>
  <c r="M338" i="1"/>
  <c r="N338" i="1" s="1"/>
  <c r="M636" i="1"/>
  <c r="N636" i="1" s="1"/>
  <c r="M420" i="1"/>
  <c r="N420" i="1" s="1"/>
  <c r="M250" i="1"/>
  <c r="N250" i="1" s="1"/>
  <c r="M60" i="1"/>
  <c r="N60" i="1" s="1"/>
  <c r="M580" i="1"/>
  <c r="N580" i="1" s="1"/>
  <c r="M620" i="1"/>
  <c r="N620" i="1" s="1"/>
  <c r="M434" i="1"/>
  <c r="N434" i="1" s="1"/>
  <c r="M778" i="1"/>
  <c r="N778" i="1" s="1"/>
  <c r="M536" i="1"/>
  <c r="N536" i="1" s="1"/>
  <c r="M42" i="1"/>
  <c r="N42" i="1" s="1"/>
  <c r="M612" i="1"/>
  <c r="N612" i="1" s="1"/>
  <c r="M122" i="1"/>
  <c r="N122" i="1" s="1"/>
  <c r="M530" i="1"/>
  <c r="N530" i="1" s="1"/>
  <c r="M34" i="1"/>
  <c r="N34" i="1" s="1"/>
  <c r="M700" i="1"/>
  <c r="N700" i="1" s="1"/>
  <c r="M196" i="1"/>
  <c r="N196" i="1" s="1"/>
  <c r="M102" i="1"/>
  <c r="N102" i="1" s="1"/>
  <c r="M390" i="1"/>
  <c r="N390" i="1" s="1"/>
  <c r="M678" i="1"/>
  <c r="N678" i="1" s="1"/>
  <c r="M158" i="1"/>
  <c r="N158" i="1" s="1"/>
  <c r="M446" i="1"/>
  <c r="N446" i="1" s="1"/>
  <c r="M734" i="1"/>
  <c r="N734" i="1" s="1"/>
  <c r="M232" i="1"/>
  <c r="N232" i="1" s="1"/>
  <c r="M520" i="1"/>
  <c r="N520" i="1" s="1"/>
  <c r="M716" i="1"/>
  <c r="N716" i="1" s="1"/>
  <c r="M190" i="1"/>
  <c r="N190" i="1" s="1"/>
  <c r="M478" i="1"/>
  <c r="N478" i="1" s="1"/>
  <c r="M766" i="1"/>
  <c r="N766" i="1" s="1"/>
  <c r="M216" i="1"/>
  <c r="N216" i="1" s="1"/>
  <c r="M504" i="1"/>
  <c r="N504" i="1" s="1"/>
  <c r="M792" i="1"/>
  <c r="N792" i="1" s="1"/>
  <c r="M272" i="1"/>
  <c r="N272" i="1" s="1"/>
  <c r="M56" i="1"/>
  <c r="N56" i="1" s="1"/>
  <c r="M508" i="1"/>
  <c r="N508" i="1" s="1"/>
  <c r="M538" i="1"/>
  <c r="N538" i="1" s="1"/>
  <c r="M348" i="1"/>
  <c r="N348" i="1" s="1"/>
  <c r="M682" i="1"/>
  <c r="N682" i="1" s="1"/>
  <c r="M4" i="1"/>
  <c r="N4" i="1" s="1"/>
  <c r="Q2" i="1" l="1"/>
</calcChain>
</file>

<file path=xl/sharedStrings.xml><?xml version="1.0" encoding="utf-8"?>
<sst xmlns="http://schemas.openxmlformats.org/spreadsheetml/2006/main" count="4813" uniqueCount="1616">
  <si>
    <t>N° Medida</t>
  </si>
  <si>
    <t>N° de Processo</t>
  </si>
  <si>
    <t>Tempo Instantaneo da medida</t>
  </si>
  <si>
    <t>Source IP</t>
  </si>
  <si>
    <t>Destination IP</t>
  </si>
  <si>
    <t>Protocolo</t>
  </si>
  <si>
    <t>Tamanho da msg</t>
  </si>
  <si>
    <t>Info</t>
  </si>
  <si>
    <t>DIF de Tempo</t>
  </si>
  <si>
    <t>Medida 1</t>
  </si>
  <si>
    <t>200.145.26.202</t>
  </si>
  <si>
    <t>200.145.26.39</t>
  </si>
  <si>
    <t>MQTT</t>
  </si>
  <si>
    <t>Publish Message [Variables20]</t>
  </si>
  <si>
    <t>0.1783231</t>
  </si>
  <si>
    <t>OpcUa</t>
  </si>
  <si>
    <t>UA Secure Conversation Message: ReadResponse</t>
  </si>
  <si>
    <t>Medida 2</t>
  </si>
  <si>
    <t>0.1596177</t>
  </si>
  <si>
    <t>0.2568011</t>
  </si>
  <si>
    <t>0.0366383</t>
  </si>
  <si>
    <t>Medida 3</t>
  </si>
  <si>
    <t>0.0439824</t>
  </si>
  <si>
    <t>Medida 4</t>
  </si>
  <si>
    <t>0.1746073</t>
  </si>
  <si>
    <t>Medida 5</t>
  </si>
  <si>
    <t>0.122757</t>
  </si>
  <si>
    <t>Medida 6</t>
  </si>
  <si>
    <t>0.1218925</t>
  </si>
  <si>
    <t>Medida 7</t>
  </si>
  <si>
    <t>0.0730373</t>
  </si>
  <si>
    <t>Medida 8</t>
  </si>
  <si>
    <t>0.0671442</t>
  </si>
  <si>
    <t>Medida 9</t>
  </si>
  <si>
    <t>0.0784612</t>
  </si>
  <si>
    <t>Medida 10</t>
  </si>
  <si>
    <t>0.0648804</t>
  </si>
  <si>
    <t>Medida 11</t>
  </si>
  <si>
    <t>0.0472027</t>
  </si>
  <si>
    <t>Medida 12</t>
  </si>
  <si>
    <t>0.1475201</t>
  </si>
  <si>
    <t>Medida 13</t>
  </si>
  <si>
    <t>0.0679534</t>
  </si>
  <si>
    <t>Medida 14</t>
  </si>
  <si>
    <t>0.1698467</t>
  </si>
  <si>
    <t>Medida 15</t>
  </si>
  <si>
    <t>0.133978</t>
  </si>
  <si>
    <t>Medida 16</t>
  </si>
  <si>
    <t>0.0898798</t>
  </si>
  <si>
    <t>Medida 17</t>
  </si>
  <si>
    <t>0.1293736</t>
  </si>
  <si>
    <t>Medida 18</t>
  </si>
  <si>
    <t>0.1270298</t>
  </si>
  <si>
    <t>Medida 19</t>
  </si>
  <si>
    <t>0.1787465</t>
  </si>
  <si>
    <t>Medida 20</t>
  </si>
  <si>
    <t>0.0590341</t>
  </si>
  <si>
    <t>Medida 21</t>
  </si>
  <si>
    <t>0.1503612</t>
  </si>
  <si>
    <t>Medida 22</t>
  </si>
  <si>
    <t>0.1421434</t>
  </si>
  <si>
    <t>Medida 23</t>
  </si>
  <si>
    <t>0.1150719</t>
  </si>
  <si>
    <t>Medida 24</t>
  </si>
  <si>
    <t>0.1594909</t>
  </si>
  <si>
    <t>Medida 25</t>
  </si>
  <si>
    <t>0.0997672</t>
  </si>
  <si>
    <t>Medida 26</t>
  </si>
  <si>
    <t>0.0565681</t>
  </si>
  <si>
    <t>Medida 27</t>
  </si>
  <si>
    <t>0.1012354</t>
  </si>
  <si>
    <t>Medida 28</t>
  </si>
  <si>
    <t>0.055373</t>
  </si>
  <si>
    <t>Medida 29</t>
  </si>
  <si>
    <t>0.0953065</t>
  </si>
  <si>
    <t>Medida 30</t>
  </si>
  <si>
    <t>0.1343533</t>
  </si>
  <si>
    <t>Medida 31</t>
  </si>
  <si>
    <t>0.0998631</t>
  </si>
  <si>
    <t>Medida 32</t>
  </si>
  <si>
    <t>0.1063189</t>
  </si>
  <si>
    <t>Medida 33</t>
  </si>
  <si>
    <t>0.1281972</t>
  </si>
  <si>
    <t>Medida 34</t>
  </si>
  <si>
    <t>0.1431576</t>
  </si>
  <si>
    <t>Medida 35</t>
  </si>
  <si>
    <t>0.1586576</t>
  </si>
  <si>
    <t>Medida 36</t>
  </si>
  <si>
    <t>0.0911036</t>
  </si>
  <si>
    <t>Medida 37</t>
  </si>
  <si>
    <t>0.0673433</t>
  </si>
  <si>
    <t>Medida 38</t>
  </si>
  <si>
    <t>0.0646889</t>
  </si>
  <si>
    <t>Medida 39</t>
  </si>
  <si>
    <t>0.1082404</t>
  </si>
  <si>
    <t>Medida 40</t>
  </si>
  <si>
    <t>0.1371791</t>
  </si>
  <si>
    <t>Medida 41</t>
  </si>
  <si>
    <t>0.0570724</t>
  </si>
  <si>
    <t>Medida 42</t>
  </si>
  <si>
    <t>0.1126682</t>
  </si>
  <si>
    <t>Medida 43</t>
  </si>
  <si>
    <t>0.14442</t>
  </si>
  <si>
    <t>Medida 44</t>
  </si>
  <si>
    <t>0.1156207</t>
  </si>
  <si>
    <t>Medida 45</t>
  </si>
  <si>
    <t>0.0711761</t>
  </si>
  <si>
    <t>Medida 46</t>
  </si>
  <si>
    <t>0.0639931</t>
  </si>
  <si>
    <t>Medida 47</t>
  </si>
  <si>
    <t>0.0871894</t>
  </si>
  <si>
    <t>Medida 48</t>
  </si>
  <si>
    <t>0.1791774</t>
  </si>
  <si>
    <t>Medida 49</t>
  </si>
  <si>
    <t>0.050857</t>
  </si>
  <si>
    <t>Medida 50</t>
  </si>
  <si>
    <t>0.1110748</t>
  </si>
  <si>
    <t>Medida 51</t>
  </si>
  <si>
    <t>0.0613495</t>
  </si>
  <si>
    <t>Medida 52</t>
  </si>
  <si>
    <t>0.1197289</t>
  </si>
  <si>
    <t>Medida 53</t>
  </si>
  <si>
    <t>0.1400142</t>
  </si>
  <si>
    <t>Medida 54</t>
  </si>
  <si>
    <t>0.0934886</t>
  </si>
  <si>
    <t>Medida 55</t>
  </si>
  <si>
    <t>0.0840597</t>
  </si>
  <si>
    <t>Medida 56</t>
  </si>
  <si>
    <t>0.118</t>
  </si>
  <si>
    <t>Medida 57</t>
  </si>
  <si>
    <t>0.1490337</t>
  </si>
  <si>
    <t>Medida 58</t>
  </si>
  <si>
    <t>0.0519832</t>
  </si>
  <si>
    <t>Medida 59</t>
  </si>
  <si>
    <t>0.07134</t>
  </si>
  <si>
    <t>Medida 60</t>
  </si>
  <si>
    <t>0.1461055</t>
  </si>
  <si>
    <t>Medida 61</t>
  </si>
  <si>
    <t>0.0475818</t>
  </si>
  <si>
    <t>Medida 62</t>
  </si>
  <si>
    <t>0.0884737</t>
  </si>
  <si>
    <t>Medida 63</t>
  </si>
  <si>
    <t>0.1447176</t>
  </si>
  <si>
    <t>Medida 64</t>
  </si>
  <si>
    <t>0.1026916</t>
  </si>
  <si>
    <t>Medida 65</t>
  </si>
  <si>
    <t>0.1081236</t>
  </si>
  <si>
    <t>Medida 66</t>
  </si>
  <si>
    <t>0.1148718</t>
  </si>
  <si>
    <t>Medida 67</t>
  </si>
  <si>
    <t>0.098798</t>
  </si>
  <si>
    <t>Medida 68</t>
  </si>
  <si>
    <t>0.1487229</t>
  </si>
  <si>
    <t>Medida 69</t>
  </si>
  <si>
    <t>0.1444952</t>
  </si>
  <si>
    <t>Medida 70</t>
  </si>
  <si>
    <t>0.0627309</t>
  </si>
  <si>
    <t>Medida 71</t>
  </si>
  <si>
    <t>0.0563378</t>
  </si>
  <si>
    <t>Medida 72</t>
  </si>
  <si>
    <t>0.1710905</t>
  </si>
  <si>
    <t>Medida 73</t>
  </si>
  <si>
    <t>0.1809519</t>
  </si>
  <si>
    <t>Medida 74</t>
  </si>
  <si>
    <t>0.138642</t>
  </si>
  <si>
    <t>Medida 75</t>
  </si>
  <si>
    <t>0.0868944</t>
  </si>
  <si>
    <t>Medida 76</t>
  </si>
  <si>
    <t>0.1519925</t>
  </si>
  <si>
    <t>Medida 77</t>
  </si>
  <si>
    <t>0.0605175</t>
  </si>
  <si>
    <t>Medida 78</t>
  </si>
  <si>
    <t>0.1565244</t>
  </si>
  <si>
    <t>Medida 79</t>
  </si>
  <si>
    <t>0.1636765</t>
  </si>
  <si>
    <t>Medida 80</t>
  </si>
  <si>
    <t>0.0656164</t>
  </si>
  <si>
    <t>Medida 81</t>
  </si>
  <si>
    <t>0.0710124</t>
  </si>
  <si>
    <t>Medida 82</t>
  </si>
  <si>
    <t>0.1071581</t>
  </si>
  <si>
    <t>Medida 83</t>
  </si>
  <si>
    <t>0.1667154</t>
  </si>
  <si>
    <t>Medida 84</t>
  </si>
  <si>
    <t>0.070956</t>
  </si>
  <si>
    <t>Medida 85</t>
  </si>
  <si>
    <t>0.116611</t>
  </si>
  <si>
    <t>Medida 86</t>
  </si>
  <si>
    <t>0.0714335</t>
  </si>
  <si>
    <t>Medida 87</t>
  </si>
  <si>
    <t>0.0834332</t>
  </si>
  <si>
    <t>Medida 88</t>
  </si>
  <si>
    <t>0.1364732</t>
  </si>
  <si>
    <t>Medida 89</t>
  </si>
  <si>
    <t>0.0973849</t>
  </si>
  <si>
    <t>Medida 90</t>
  </si>
  <si>
    <t>0.0768579</t>
  </si>
  <si>
    <t>Medida 91</t>
  </si>
  <si>
    <t>0.1101153</t>
  </si>
  <si>
    <t>Medida 92</t>
  </si>
  <si>
    <t>0.1512312</t>
  </si>
  <si>
    <t>Medida 93</t>
  </si>
  <si>
    <t>0.1227568</t>
  </si>
  <si>
    <t>Medida 94</t>
  </si>
  <si>
    <t>0.1120754</t>
  </si>
  <si>
    <t>Medida 95</t>
  </si>
  <si>
    <t>0.1068823</t>
  </si>
  <si>
    <t>Medida 96</t>
  </si>
  <si>
    <t>0.1058466</t>
  </si>
  <si>
    <t>Medida 97</t>
  </si>
  <si>
    <t>0.1526458</t>
  </si>
  <si>
    <t>Medida 98</t>
  </si>
  <si>
    <t>0.1570796</t>
  </si>
  <si>
    <t>Medida 99</t>
  </si>
  <si>
    <t>0.1462508</t>
  </si>
  <si>
    <t>Medida 100</t>
  </si>
  <si>
    <t>0.117526</t>
  </si>
  <si>
    <t>Medida 101</t>
  </si>
  <si>
    <t>0.1666036</t>
  </si>
  <si>
    <t>Medida 102</t>
  </si>
  <si>
    <t>0.0722321</t>
  </si>
  <si>
    <t>Medida 103</t>
  </si>
  <si>
    <t>0.1322025</t>
  </si>
  <si>
    <t>Medida 104</t>
  </si>
  <si>
    <t>0.1230833</t>
  </si>
  <si>
    <t>Medida 105</t>
  </si>
  <si>
    <t>Medida 106</t>
  </si>
  <si>
    <t>0.1123642</t>
  </si>
  <si>
    <t>Medida 107</t>
  </si>
  <si>
    <t>0.0747519</t>
  </si>
  <si>
    <t>Medida 108</t>
  </si>
  <si>
    <t>0.1355578</t>
  </si>
  <si>
    <t>Medida 109</t>
  </si>
  <si>
    <t>0.1127871</t>
  </si>
  <si>
    <t>Medida 110</t>
  </si>
  <si>
    <t>0.1351533</t>
  </si>
  <si>
    <t>Medida 111</t>
  </si>
  <si>
    <t>0.105545</t>
  </si>
  <si>
    <t>Medida 112</t>
  </si>
  <si>
    <t>0.1538323</t>
  </si>
  <si>
    <t>Medida 113</t>
  </si>
  <si>
    <t>0.0639526</t>
  </si>
  <si>
    <t>Medida 114</t>
  </si>
  <si>
    <t>0.1747827</t>
  </si>
  <si>
    <t>Medida 115</t>
  </si>
  <si>
    <t>0.0780337</t>
  </si>
  <si>
    <t>Medida 116</t>
  </si>
  <si>
    <t>0.1681564</t>
  </si>
  <si>
    <t>Medida 117</t>
  </si>
  <si>
    <t>0.1090086</t>
  </si>
  <si>
    <t>Medida 118</t>
  </si>
  <si>
    <t>0.1174684</t>
  </si>
  <si>
    <t>Medida 119</t>
  </si>
  <si>
    <t>0.1160437</t>
  </si>
  <si>
    <t>Medida 120</t>
  </si>
  <si>
    <t>0.1110773</t>
  </si>
  <si>
    <t>Medida 121</t>
  </si>
  <si>
    <t>0.1393947</t>
  </si>
  <si>
    <t>Medida 122</t>
  </si>
  <si>
    <t>0.0535443</t>
  </si>
  <si>
    <t>Medida 123</t>
  </si>
  <si>
    <t>0.09539</t>
  </si>
  <si>
    <t>Medida 124</t>
  </si>
  <si>
    <t>0.1610457</t>
  </si>
  <si>
    <t>Medida 125</t>
  </si>
  <si>
    <t>0.1674411</t>
  </si>
  <si>
    <t>Medida 126</t>
  </si>
  <si>
    <t>0.1044287</t>
  </si>
  <si>
    <t>Medida 127</t>
  </si>
  <si>
    <t>0.1608728</t>
  </si>
  <si>
    <t>Medida 128</t>
  </si>
  <si>
    <t>0.142309</t>
  </si>
  <si>
    <t>Medida 129</t>
  </si>
  <si>
    <t>0.0785774</t>
  </si>
  <si>
    <t>Medida 130</t>
  </si>
  <si>
    <t>0.132591</t>
  </si>
  <si>
    <t>Medida 131</t>
  </si>
  <si>
    <t>0.169133</t>
  </si>
  <si>
    <t>Medida 132</t>
  </si>
  <si>
    <t>0.0749762</t>
  </si>
  <si>
    <t>Medida 133</t>
  </si>
  <si>
    <t>0.0928127</t>
  </si>
  <si>
    <t>Medida 134</t>
  </si>
  <si>
    <t>0.1071962</t>
  </si>
  <si>
    <t>Medida 135</t>
  </si>
  <si>
    <t>0.0686583</t>
  </si>
  <si>
    <t>Medida 136</t>
  </si>
  <si>
    <t>0.1185196</t>
  </si>
  <si>
    <t>Medida 137</t>
  </si>
  <si>
    <t>0.1503433</t>
  </si>
  <si>
    <t>Medida 138</t>
  </si>
  <si>
    <t>0.0731214</t>
  </si>
  <si>
    <t>Medida 139</t>
  </si>
  <si>
    <t>0.1424224</t>
  </si>
  <si>
    <t>Medida 140</t>
  </si>
  <si>
    <t>0.1134976</t>
  </si>
  <si>
    <t>Medida 141</t>
  </si>
  <si>
    <t>0.1615428</t>
  </si>
  <si>
    <t>Medida 142</t>
  </si>
  <si>
    <t>0.1030852</t>
  </si>
  <si>
    <t>Medida 143</t>
  </si>
  <si>
    <t>0.1755247</t>
  </si>
  <si>
    <t>Medida 144</t>
  </si>
  <si>
    <t>0.1758305</t>
  </si>
  <si>
    <t>Medida 145</t>
  </si>
  <si>
    <t>0.1227142</t>
  </si>
  <si>
    <t>Medida 146</t>
  </si>
  <si>
    <t>0.0680709</t>
  </si>
  <si>
    <t>Medida 147</t>
  </si>
  <si>
    <t>0.0597811</t>
  </si>
  <si>
    <t>Medida 148</t>
  </si>
  <si>
    <t>0.1379598</t>
  </si>
  <si>
    <t>Medida 149</t>
  </si>
  <si>
    <t>0.0585259</t>
  </si>
  <si>
    <t>Medida 150</t>
  </si>
  <si>
    <t>0.1711334</t>
  </si>
  <si>
    <t>Medida 151</t>
  </si>
  <si>
    <t>0.1543115</t>
  </si>
  <si>
    <t>Medida 152</t>
  </si>
  <si>
    <t>0.0931668</t>
  </si>
  <si>
    <t>Medida 153</t>
  </si>
  <si>
    <t>0.1468351</t>
  </si>
  <si>
    <t>Medida 154</t>
  </si>
  <si>
    <t>0.1353962</t>
  </si>
  <si>
    <t>Medida 155</t>
  </si>
  <si>
    <t>0.1049249</t>
  </si>
  <si>
    <t>Medida 156</t>
  </si>
  <si>
    <t>0.0850759</t>
  </si>
  <si>
    <t>Medida 157</t>
  </si>
  <si>
    <t>0.0456099</t>
  </si>
  <si>
    <t>Medida 158</t>
  </si>
  <si>
    <t>0.1477682</t>
  </si>
  <si>
    <t>Medida 159</t>
  </si>
  <si>
    <t>0.1160179</t>
  </si>
  <si>
    <t>Medida 160</t>
  </si>
  <si>
    <t>0.0799669</t>
  </si>
  <si>
    <t>Medida 161</t>
  </si>
  <si>
    <t>0.092338</t>
  </si>
  <si>
    <t>Medida 162</t>
  </si>
  <si>
    <t>0.075404</t>
  </si>
  <si>
    <t>Medida 163</t>
  </si>
  <si>
    <t>0.1533873</t>
  </si>
  <si>
    <t>Medida 164</t>
  </si>
  <si>
    <t>0.1015746</t>
  </si>
  <si>
    <t>Medida 165</t>
  </si>
  <si>
    <t>0.0994364</t>
  </si>
  <si>
    <t>Medida 166</t>
  </si>
  <si>
    <t>0.1142885</t>
  </si>
  <si>
    <t>Medida 167</t>
  </si>
  <si>
    <t>0.1701069</t>
  </si>
  <si>
    <t>Medida 168</t>
  </si>
  <si>
    <t>Medida 169</t>
  </si>
  <si>
    <t>0.1408415</t>
  </si>
  <si>
    <t>Medida 170</t>
  </si>
  <si>
    <t>0.1404398</t>
  </si>
  <si>
    <t>Medida 171</t>
  </si>
  <si>
    <t>0.0470616</t>
  </si>
  <si>
    <t>Medida 172</t>
  </si>
  <si>
    <t>0.1219288</t>
  </si>
  <si>
    <t>Medida 173</t>
  </si>
  <si>
    <t>0.080018</t>
  </si>
  <si>
    <t>Medida 174</t>
  </si>
  <si>
    <t>0.092086</t>
  </si>
  <si>
    <t>Medida 175</t>
  </si>
  <si>
    <t>0.0763274</t>
  </si>
  <si>
    <t>Medida 176</t>
  </si>
  <si>
    <t>0.0694785</t>
  </si>
  <si>
    <t>Medida 177</t>
  </si>
  <si>
    <t>0.1246112</t>
  </si>
  <si>
    <t>Medida 178</t>
  </si>
  <si>
    <t>0.1437053</t>
  </si>
  <si>
    <t>Medida 179</t>
  </si>
  <si>
    <t>0.1525337</t>
  </si>
  <si>
    <t>Medida 180</t>
  </si>
  <si>
    <t>0.1571036</t>
  </si>
  <si>
    <t>Medida 181</t>
  </si>
  <si>
    <t>0.1282202</t>
  </si>
  <si>
    <t>Medida 182</t>
  </si>
  <si>
    <t>Medida 183</t>
  </si>
  <si>
    <t>0.0457393</t>
  </si>
  <si>
    <t>Medida 184</t>
  </si>
  <si>
    <t>0.1185757</t>
  </si>
  <si>
    <t>Medida 185</t>
  </si>
  <si>
    <t>0.0507377</t>
  </si>
  <si>
    <t>Medida 186</t>
  </si>
  <si>
    <t>0.0368308</t>
  </si>
  <si>
    <t>Medida 187</t>
  </si>
  <si>
    <t>0.0567061</t>
  </si>
  <si>
    <t>Medida 188</t>
  </si>
  <si>
    <t>0.1323862</t>
  </si>
  <si>
    <t>Medida 189</t>
  </si>
  <si>
    <t>0.1126059</t>
  </si>
  <si>
    <t>Medida 190</t>
  </si>
  <si>
    <t>0.1544142</t>
  </si>
  <si>
    <t>Medida 191</t>
  </si>
  <si>
    <t>0.086638</t>
  </si>
  <si>
    <t>Medida 192</t>
  </si>
  <si>
    <t>0.0645252</t>
  </si>
  <si>
    <t>Medida 193</t>
  </si>
  <si>
    <t>0.0827522</t>
  </si>
  <si>
    <t>Medida 194</t>
  </si>
  <si>
    <t>0.1592839</t>
  </si>
  <si>
    <t>Medida 195</t>
  </si>
  <si>
    <t>0.0896752</t>
  </si>
  <si>
    <t>Medida 196</t>
  </si>
  <si>
    <t>0.0643225</t>
  </si>
  <si>
    <t>Medida 197</t>
  </si>
  <si>
    <t>0.1301814</t>
  </si>
  <si>
    <t>Medida 198</t>
  </si>
  <si>
    <t>0.1043977</t>
  </si>
  <si>
    <t>Medida 199</t>
  </si>
  <si>
    <t>0.0956781</t>
  </si>
  <si>
    <t>Medida 200</t>
  </si>
  <si>
    <t>0.0961348</t>
  </si>
  <si>
    <t>Medida 201</t>
  </si>
  <si>
    <t>0.1049911</t>
  </si>
  <si>
    <t>Medida 202</t>
  </si>
  <si>
    <t>0.1762399</t>
  </si>
  <si>
    <t>Medida 203</t>
  </si>
  <si>
    <t>0.080594</t>
  </si>
  <si>
    <t>Medida 204</t>
  </si>
  <si>
    <t>0.07533</t>
  </si>
  <si>
    <t>Medida 205</t>
  </si>
  <si>
    <t>0.1201955</t>
  </si>
  <si>
    <t>Medida 206</t>
  </si>
  <si>
    <t>0.1210226</t>
  </si>
  <si>
    <t>Medida 207</t>
  </si>
  <si>
    <t>0.2127434</t>
  </si>
  <si>
    <t>Medida 208</t>
  </si>
  <si>
    <t>0.1832993</t>
  </si>
  <si>
    <t>Medida 209</t>
  </si>
  <si>
    <t>0.2039985</t>
  </si>
  <si>
    <t>Medida 210</t>
  </si>
  <si>
    <t>0.0841396</t>
  </si>
  <si>
    <t>Medida 211</t>
  </si>
  <si>
    <t>0.0683052</t>
  </si>
  <si>
    <t>Medida 212</t>
  </si>
  <si>
    <t>0.1462463</t>
  </si>
  <si>
    <t>Medida 213</t>
  </si>
  <si>
    <t>0.0550121</t>
  </si>
  <si>
    <t>Medida 214</t>
  </si>
  <si>
    <t>0.0987935</t>
  </si>
  <si>
    <t>Medida 215</t>
  </si>
  <si>
    <t>0.0651388</t>
  </si>
  <si>
    <t>Medida 216</t>
  </si>
  <si>
    <t>0.0637052</t>
  </si>
  <si>
    <t>Medida 217</t>
  </si>
  <si>
    <t>0.0656124</t>
  </si>
  <si>
    <t>Medida 218</t>
  </si>
  <si>
    <t>0.0514187</t>
  </si>
  <si>
    <t>Medida 219</t>
  </si>
  <si>
    <t>0.0867756</t>
  </si>
  <si>
    <t>Medida 220</t>
  </si>
  <si>
    <t>0.0994223</t>
  </si>
  <si>
    <t>Medida 221</t>
  </si>
  <si>
    <t>0.0731363</t>
  </si>
  <si>
    <t>Medida 222</t>
  </si>
  <si>
    <t>0.0687685</t>
  </si>
  <si>
    <t>Medida 223</t>
  </si>
  <si>
    <t>0.0972671</t>
  </si>
  <si>
    <t>Medida 224</t>
  </si>
  <si>
    <t>0.048615</t>
  </si>
  <si>
    <t>Medida 225</t>
  </si>
  <si>
    <t>0.1207775</t>
  </si>
  <si>
    <t>Medida 226</t>
  </si>
  <si>
    <t>0.0655164</t>
  </si>
  <si>
    <t>Medida 227</t>
  </si>
  <si>
    <t>0.1416561</t>
  </si>
  <si>
    <t>Medida 228</t>
  </si>
  <si>
    <t>0.059301</t>
  </si>
  <si>
    <t>Medida 229</t>
  </si>
  <si>
    <t>0.0961774</t>
  </si>
  <si>
    <t>Medida 230</t>
  </si>
  <si>
    <t>0.0445923</t>
  </si>
  <si>
    <t>Medida 231</t>
  </si>
  <si>
    <t>0.0687435</t>
  </si>
  <si>
    <t>Medida 232</t>
  </si>
  <si>
    <t>0.0620396</t>
  </si>
  <si>
    <t>Medida 233</t>
  </si>
  <si>
    <t>0.0728479</t>
  </si>
  <si>
    <t>Medida 234</t>
  </si>
  <si>
    <t>0.1574227</t>
  </si>
  <si>
    <t>Medida 235</t>
  </si>
  <si>
    <t>0.1852262</t>
  </si>
  <si>
    <t>Medida 236</t>
  </si>
  <si>
    <t>0.083788</t>
  </si>
  <si>
    <t>Medida 237</t>
  </si>
  <si>
    <t>0.165783</t>
  </si>
  <si>
    <t>Medida 238</t>
  </si>
  <si>
    <t>0.1348692</t>
  </si>
  <si>
    <t>Medida 239</t>
  </si>
  <si>
    <t>0.1408999</t>
  </si>
  <si>
    <t>Medida 240</t>
  </si>
  <si>
    <t>0.1630506</t>
  </si>
  <si>
    <t>Medida 241</t>
  </si>
  <si>
    <t>0.2207572</t>
  </si>
  <si>
    <t>Medida 242</t>
  </si>
  <si>
    <t>0.1275414</t>
  </si>
  <si>
    <t>Medida 243</t>
  </si>
  <si>
    <t>0.1548557</t>
  </si>
  <si>
    <t>Medida 244</t>
  </si>
  <si>
    <t>0.1751684</t>
  </si>
  <si>
    <t>Medida 245</t>
  </si>
  <si>
    <t>0.1752669</t>
  </si>
  <si>
    <t>Medida 246</t>
  </si>
  <si>
    <t>0.1157023</t>
  </si>
  <si>
    <t>Medida 247</t>
  </si>
  <si>
    <t>0.1146218</t>
  </si>
  <si>
    <t>Medida 248</t>
  </si>
  <si>
    <t>0.1049731</t>
  </si>
  <si>
    <t>Medida 249</t>
  </si>
  <si>
    <t>0.1560057</t>
  </si>
  <si>
    <t>Medida 250</t>
  </si>
  <si>
    <t>0.1498909</t>
  </si>
  <si>
    <t>Medida 251</t>
  </si>
  <si>
    <t>0.0952307</t>
  </si>
  <si>
    <t>Medida 252</t>
  </si>
  <si>
    <t>0.1594833</t>
  </si>
  <si>
    <t>Medida 253</t>
  </si>
  <si>
    <t>0.0470857</t>
  </si>
  <si>
    <t>Medida 254</t>
  </si>
  <si>
    <t>0.1727803</t>
  </si>
  <si>
    <t>Medida 255</t>
  </si>
  <si>
    <t>0.1511609</t>
  </si>
  <si>
    <t>Medida 256</t>
  </si>
  <si>
    <t>0.1065517</t>
  </si>
  <si>
    <t>Medida 257</t>
  </si>
  <si>
    <t>0.0605383</t>
  </si>
  <si>
    <t>Medida 258</t>
  </si>
  <si>
    <t>0.0925576</t>
  </si>
  <si>
    <t>Medida 259</t>
  </si>
  <si>
    <t>0.1653169</t>
  </si>
  <si>
    <t>Medida 260</t>
  </si>
  <si>
    <t>0.1853295</t>
  </si>
  <si>
    <t>Medida 261</t>
  </si>
  <si>
    <t>0.0774252</t>
  </si>
  <si>
    <t>Medida 262</t>
  </si>
  <si>
    <t>0.1380289</t>
  </si>
  <si>
    <t>Medida 263</t>
  </si>
  <si>
    <t>0.1612675</t>
  </si>
  <si>
    <t>Medida 264</t>
  </si>
  <si>
    <t>0.0931486</t>
  </si>
  <si>
    <t>Medida 265</t>
  </si>
  <si>
    <t>0.1303067</t>
  </si>
  <si>
    <t>Medida 266</t>
  </si>
  <si>
    <t>0.1083096</t>
  </si>
  <si>
    <t>Medida 267</t>
  </si>
  <si>
    <t>0.112507</t>
  </si>
  <si>
    <t>Medida 268</t>
  </si>
  <si>
    <t>0.1720649</t>
  </si>
  <si>
    <t>Medida 269</t>
  </si>
  <si>
    <t>0.0426053</t>
  </si>
  <si>
    <t>Medida 270</t>
  </si>
  <si>
    <t>0.0725729</t>
  </si>
  <si>
    <t>Medida 271</t>
  </si>
  <si>
    <t>0.1080433</t>
  </si>
  <si>
    <t>Medida 272</t>
  </si>
  <si>
    <t>0.0438106</t>
  </si>
  <si>
    <t>Medida 273</t>
  </si>
  <si>
    <t>0.0798893</t>
  </si>
  <si>
    <t>Medida 274</t>
  </si>
  <si>
    <t>0.1684034</t>
  </si>
  <si>
    <t>Medida 275</t>
  </si>
  <si>
    <t>0.1523163</t>
  </si>
  <si>
    <t>Medida 276</t>
  </si>
  <si>
    <t>0.1665947</t>
  </si>
  <si>
    <t>Medida 277</t>
  </si>
  <si>
    <t>0.1874736</t>
  </si>
  <si>
    <t>Medida 278</t>
  </si>
  <si>
    <t>0.1309895</t>
  </si>
  <si>
    <t>Medida 279</t>
  </si>
  <si>
    <t>0.058225</t>
  </si>
  <si>
    <t>Medida 280</t>
  </si>
  <si>
    <t>0.1349862</t>
  </si>
  <si>
    <t>Medida 281</t>
  </si>
  <si>
    <t>0.0987673</t>
  </si>
  <si>
    <t>Medida 282</t>
  </si>
  <si>
    <t>0.1304909</t>
  </si>
  <si>
    <t>Medida 283</t>
  </si>
  <si>
    <t>0.1780538</t>
  </si>
  <si>
    <t>Medida 284</t>
  </si>
  <si>
    <t>0.1473131</t>
  </si>
  <si>
    <t>Medida 285</t>
  </si>
  <si>
    <t>0.1511259</t>
  </si>
  <si>
    <t>Medida 286</t>
  </si>
  <si>
    <t>0.0487306</t>
  </si>
  <si>
    <t>Medida 287</t>
  </si>
  <si>
    <t>0.1487018</t>
  </si>
  <si>
    <t>Medida 288</t>
  </si>
  <si>
    <t>0.1785589</t>
  </si>
  <si>
    <t>Medida 289</t>
  </si>
  <si>
    <t>0.0750634</t>
  </si>
  <si>
    <t>Medida 290</t>
  </si>
  <si>
    <t>0.133599</t>
  </si>
  <si>
    <t>Medida 291</t>
  </si>
  <si>
    <t>0.1352433</t>
  </si>
  <si>
    <t>Medida 292</t>
  </si>
  <si>
    <t>0.04351</t>
  </si>
  <si>
    <t>Medida 293</t>
  </si>
  <si>
    <t>0.1563746</t>
  </si>
  <si>
    <t>Medida 294</t>
  </si>
  <si>
    <t>0.1684721</t>
  </si>
  <si>
    <t>Medida 295</t>
  </si>
  <si>
    <t>0.146315</t>
  </si>
  <si>
    <t>Medida 296</t>
  </si>
  <si>
    <t>0.1121186</t>
  </si>
  <si>
    <t>Medida 297</t>
  </si>
  <si>
    <t>0.1168805</t>
  </si>
  <si>
    <t>Medida 298</t>
  </si>
  <si>
    <t>0.0659783</t>
  </si>
  <si>
    <t>Medida 299</t>
  </si>
  <si>
    <t>0.1447485</t>
  </si>
  <si>
    <t>Medida 300</t>
  </si>
  <si>
    <t>0.2147584</t>
  </si>
  <si>
    <t>Medida 301</t>
  </si>
  <si>
    <t>0.1738243</t>
  </si>
  <si>
    <t>Medida 302</t>
  </si>
  <si>
    <t>0.1586367</t>
  </si>
  <si>
    <t>Medida 303</t>
  </si>
  <si>
    <t>0.0743223</t>
  </si>
  <si>
    <t>Medida 304</t>
  </si>
  <si>
    <t>0.0441899</t>
  </si>
  <si>
    <t>Medida 305</t>
  </si>
  <si>
    <t>0.0829585</t>
  </si>
  <si>
    <t>Medida 306</t>
  </si>
  <si>
    <t>0.0617849</t>
  </si>
  <si>
    <t>Medida 307</t>
  </si>
  <si>
    <t>0.1006385</t>
  </si>
  <si>
    <t>Medida 308</t>
  </si>
  <si>
    <t>0.1242274</t>
  </si>
  <si>
    <t>Medida 309</t>
  </si>
  <si>
    <t>0.0942643</t>
  </si>
  <si>
    <t>Medida 310</t>
  </si>
  <si>
    <t>0.1117311</t>
  </si>
  <si>
    <t>Medida 311</t>
  </si>
  <si>
    <t>0.093975</t>
  </si>
  <si>
    <t>Medida 312</t>
  </si>
  <si>
    <t>0.082073</t>
  </si>
  <si>
    <t>Medida 313</t>
  </si>
  <si>
    <t>0.1164273</t>
  </si>
  <si>
    <t>Medida 314</t>
  </si>
  <si>
    <t>0.0693493</t>
  </si>
  <si>
    <t>Medida 315</t>
  </si>
  <si>
    <t>0.1378038</t>
  </si>
  <si>
    <t>Medida 316</t>
  </si>
  <si>
    <t>0.086959</t>
  </si>
  <si>
    <t>Medida 317</t>
  </si>
  <si>
    <t>0.1321058</t>
  </si>
  <si>
    <t>Medida 318</t>
  </si>
  <si>
    <t>0.1828944</t>
  </si>
  <si>
    <t>Medida 319</t>
  </si>
  <si>
    <t>0.0464828</t>
  </si>
  <si>
    <t>Medida 320</t>
  </si>
  <si>
    <t>0.0426561</t>
  </si>
  <si>
    <t>Medida 321</t>
  </si>
  <si>
    <t>0.1622125</t>
  </si>
  <si>
    <t>Medida 322</t>
  </si>
  <si>
    <t>0.1698376</t>
  </si>
  <si>
    <t>Medida 323</t>
  </si>
  <si>
    <t>0.1222112</t>
  </si>
  <si>
    <t>Medida 324</t>
  </si>
  <si>
    <t>0.1248009</t>
  </si>
  <si>
    <t>Medida 325</t>
  </si>
  <si>
    <t>0.1293423</t>
  </si>
  <si>
    <t>Medida 326</t>
  </si>
  <si>
    <t>0.0982109</t>
  </si>
  <si>
    <t>Medida 327</t>
  </si>
  <si>
    <t>0.0416236</t>
  </si>
  <si>
    <t>Medida 328</t>
  </si>
  <si>
    <t>0.0567639</t>
  </si>
  <si>
    <t>Medida 329</t>
  </si>
  <si>
    <t>0.1578639</t>
  </si>
  <si>
    <t>Medida 330</t>
  </si>
  <si>
    <t>0.170724</t>
  </si>
  <si>
    <t>Medida 331</t>
  </si>
  <si>
    <t>0.1703659</t>
  </si>
  <si>
    <t>Medida 332</t>
  </si>
  <si>
    <t>0.1182095</t>
  </si>
  <si>
    <t>Medida 333</t>
  </si>
  <si>
    <t>0.1588515</t>
  </si>
  <si>
    <t>Medida 334</t>
  </si>
  <si>
    <t>0.14971</t>
  </si>
  <si>
    <t>Medida 335</t>
  </si>
  <si>
    <t>0.0458817</t>
  </si>
  <si>
    <t>Medida 336</t>
  </si>
  <si>
    <t>0.1297057</t>
  </si>
  <si>
    <t>Medida 337</t>
  </si>
  <si>
    <t>0.0733023</t>
  </si>
  <si>
    <t>Medida 338</t>
  </si>
  <si>
    <t>0.0889783</t>
  </si>
  <si>
    <t>Medida 339</t>
  </si>
  <si>
    <t>0.1652861</t>
  </si>
  <si>
    <t>Medida 340</t>
  </si>
  <si>
    <t>0.1188136</t>
  </si>
  <si>
    <t>Medida 341</t>
  </si>
  <si>
    <t>0.0424979</t>
  </si>
  <si>
    <t>Medida 342</t>
  </si>
  <si>
    <t>0.096575</t>
  </si>
  <si>
    <t>Medida 343</t>
  </si>
  <si>
    <t>0.0517492</t>
  </si>
  <si>
    <t>Medida 344</t>
  </si>
  <si>
    <t>0.151616</t>
  </si>
  <si>
    <t>Medida 345</t>
  </si>
  <si>
    <t>0.0479961</t>
  </si>
  <si>
    <t>Medida 346</t>
  </si>
  <si>
    <t>0.1171919</t>
  </si>
  <si>
    <t>Medida 347</t>
  </si>
  <si>
    <t>0.1124555</t>
  </si>
  <si>
    <t>Medida 348</t>
  </si>
  <si>
    <t>0.1003412</t>
  </si>
  <si>
    <t>Medida 349</t>
  </si>
  <si>
    <t>0.068403</t>
  </si>
  <si>
    <t>Medida 350</t>
  </si>
  <si>
    <t>0.1113476</t>
  </si>
  <si>
    <t>Medida 351</t>
  </si>
  <si>
    <t>0.1884345</t>
  </si>
  <si>
    <t>Medida 352</t>
  </si>
  <si>
    <t>0.1348641</t>
  </si>
  <si>
    <t>Medida 353</t>
  </si>
  <si>
    <t>0.1092816</t>
  </si>
  <si>
    <t>Medida 354</t>
  </si>
  <si>
    <t>0.1248613</t>
  </si>
  <si>
    <t>Medida 355</t>
  </si>
  <si>
    <t>0.1026776</t>
  </si>
  <si>
    <t>Medida 356</t>
  </si>
  <si>
    <t>0.087906</t>
  </si>
  <si>
    <t>Medida 357</t>
  </si>
  <si>
    <t>0.1344147</t>
  </si>
  <si>
    <t>Medida 358</t>
  </si>
  <si>
    <t>0.1221203</t>
  </si>
  <si>
    <t>Medida 359</t>
  </si>
  <si>
    <t>0.0774576</t>
  </si>
  <si>
    <t>Medida 360</t>
  </si>
  <si>
    <t>0.1639913</t>
  </si>
  <si>
    <t>Medida 361</t>
  </si>
  <si>
    <t>0.1359702</t>
  </si>
  <si>
    <t>Medida 362</t>
  </si>
  <si>
    <t>0.0535374</t>
  </si>
  <si>
    <t>Medida 363</t>
  </si>
  <si>
    <t>0.1521489</t>
  </si>
  <si>
    <t>Medida 364</t>
  </si>
  <si>
    <t>0.106008</t>
  </si>
  <si>
    <t>Medida 365</t>
  </si>
  <si>
    <t>0.1530174</t>
  </si>
  <si>
    <t>Medida 366</t>
  </si>
  <si>
    <t>0.1464506</t>
  </si>
  <si>
    <t>Medida 367</t>
  </si>
  <si>
    <t>0.0453228</t>
  </si>
  <si>
    <t>Medida 368</t>
  </si>
  <si>
    <t>0.1807857</t>
  </si>
  <si>
    <t>Medida 369</t>
  </si>
  <si>
    <t>0.044642</t>
  </si>
  <si>
    <t>Medida 370</t>
  </si>
  <si>
    <t>0.0950654</t>
  </si>
  <si>
    <t>Medida 371</t>
  </si>
  <si>
    <t>0.1662124</t>
  </si>
  <si>
    <t>Medida 372</t>
  </si>
  <si>
    <t>0.1528623</t>
  </si>
  <si>
    <t>Medida 373</t>
  </si>
  <si>
    <t>0.058787</t>
  </si>
  <si>
    <t>Medida 374</t>
  </si>
  <si>
    <t>0.0482348</t>
  </si>
  <si>
    <t>Medida 375</t>
  </si>
  <si>
    <t>0.0980942</t>
  </si>
  <si>
    <t>Medida 376</t>
  </si>
  <si>
    <t>0.0820984</t>
  </si>
  <si>
    <t>Medida 377</t>
  </si>
  <si>
    <t>0.0505904</t>
  </si>
  <si>
    <t>Medida 378</t>
  </si>
  <si>
    <t>0.1004726</t>
  </si>
  <si>
    <t>Medida 379</t>
  </si>
  <si>
    <t>0.0615237</t>
  </si>
  <si>
    <t>Medida 380</t>
  </si>
  <si>
    <t>0.0919798</t>
  </si>
  <si>
    <t>Medida 381</t>
  </si>
  <si>
    <t>0.1633114</t>
  </si>
  <si>
    <t>Medida 382</t>
  </si>
  <si>
    <t>0.1266227</t>
  </si>
  <si>
    <t>Medida 383</t>
  </si>
  <si>
    <t>0.1451572</t>
  </si>
  <si>
    <t>Medida 384</t>
  </si>
  <si>
    <t>0.0752119</t>
  </si>
  <si>
    <t>Medida 385</t>
  </si>
  <si>
    <t>0.0893496</t>
  </si>
  <si>
    <t>Medida 386</t>
  </si>
  <si>
    <t>0.1035956</t>
  </si>
  <si>
    <t>Medida 387</t>
  </si>
  <si>
    <t>0.0456375</t>
  </si>
  <si>
    <t>Medida 388</t>
  </si>
  <si>
    <t>0.1012315</t>
  </si>
  <si>
    <t>Medida 389</t>
  </si>
  <si>
    <t>0.0518966</t>
  </si>
  <si>
    <t>Medida 390</t>
  </si>
  <si>
    <t>0.1576884</t>
  </si>
  <si>
    <t>Medida 391</t>
  </si>
  <si>
    <t>0.0510598</t>
  </si>
  <si>
    <t>Medida 392</t>
  </si>
  <si>
    <t>0.1187049</t>
  </si>
  <si>
    <t>Medida 393</t>
  </si>
  <si>
    <t>0.126819</t>
  </si>
  <si>
    <t>Medida 394</t>
  </si>
  <si>
    <t>0.098056</t>
  </si>
  <si>
    <t>Medida 395</t>
  </si>
  <si>
    <t>0.0425141</t>
  </si>
  <si>
    <t>Medida 396</t>
  </si>
  <si>
    <t>0.1340596</t>
  </si>
  <si>
    <t>Medida 397</t>
  </si>
  <si>
    <t>0.0772551</t>
  </si>
  <si>
    <t>Medida 398</t>
  </si>
  <si>
    <t>0.1357256</t>
  </si>
  <si>
    <t>Medida 399</t>
  </si>
  <si>
    <t>0.1233928</t>
  </si>
  <si>
    <t>Medida 400</t>
  </si>
  <si>
    <t>0.1114727</t>
  </si>
  <si>
    <t>1,3063772</t>
  </si>
  <si>
    <t>1,2779354</t>
  </si>
  <si>
    <t>1,3219178</t>
  </si>
  <si>
    <t>1,116678</t>
  </si>
  <si>
    <t>1,2912853</t>
  </si>
  <si>
    <t>1,1734234</t>
  </si>
  <si>
    <t>1,2961804</t>
  </si>
  <si>
    <t>1,2027643</t>
  </si>
  <si>
    <t>1,3246568</t>
  </si>
  <si>
    <t>1,3213197</t>
  </si>
  <si>
    <t>1,394357</t>
  </si>
  <si>
    <t>2,200493</t>
  </si>
  <si>
    <t>2,2676372</t>
  </si>
  <si>
    <t>0,9351277</t>
  </si>
  <si>
    <t>1,0135889</t>
  </si>
  <si>
    <t>1,0731934</t>
  </si>
  <si>
    <t>1,1380738</t>
  </si>
  <si>
    <t>1,5885284</t>
  </si>
  <si>
    <t>1,6357311</t>
  </si>
  <si>
    <t>1,1368916</t>
  </si>
  <si>
    <t>1,2844117</t>
  </si>
  <si>
    <t>1,6876055</t>
  </si>
  <si>
    <t>1,7555589</t>
  </si>
  <si>
    <t>1,5977182</t>
  </si>
  <si>
    <t>1,7675649</t>
  </si>
  <si>
    <t>1,3005635</t>
  </si>
  <si>
    <t>1,4345415</t>
  </si>
  <si>
    <t>1,3012035</t>
  </si>
  <si>
    <t>1,2522296</t>
  </si>
  <si>
    <t>1,3816032</t>
  </si>
  <si>
    <t>1,152703</t>
  </si>
  <si>
    <t>1,2797328</t>
  </si>
  <si>
    <t>1,1455459</t>
  </si>
  <si>
    <t>1,3242924</t>
  </si>
  <si>
    <t>0,9861094</t>
  </si>
  <si>
    <t>1,0451435</t>
  </si>
  <si>
    <t>1,5800609</t>
  </si>
  <si>
    <t>1,7304221</t>
  </si>
  <si>
    <t>1,6128564</t>
  </si>
  <si>
    <t>1,7549998</t>
  </si>
  <si>
    <t>1,6736721</t>
  </si>
  <si>
    <t>1,788744</t>
  </si>
  <si>
    <t>1,6519633</t>
  </si>
  <si>
    <t>1,8114542</t>
  </si>
  <si>
    <t>1,3632477</t>
  </si>
  <si>
    <t>1,4630149</t>
  </si>
  <si>
    <t>1,3610531</t>
  </si>
  <si>
    <t>1,3648324</t>
  </si>
  <si>
    <t>1,4660678</t>
  </si>
  <si>
    <t>1,1432116</t>
  </si>
  <si>
    <t>1,1985846</t>
  </si>
  <si>
    <t>1,1151303</t>
  </si>
  <si>
    <t>1,2104368</t>
  </si>
  <si>
    <t>1,2132816</t>
  </si>
  <si>
    <t>1,3476349</t>
  </si>
  <si>
    <t>1,4803928</t>
  </si>
  <si>
    <t>1,396117</t>
  </si>
  <si>
    <t>1,5024359</t>
  </si>
  <si>
    <t>1,5802559</t>
  </si>
  <si>
    <t>1,304485</t>
  </si>
  <si>
    <t>1,2877689</t>
  </si>
  <si>
    <t>1,4159661</t>
  </si>
  <si>
    <t>1,4077814</t>
  </si>
  <si>
    <t>1,550939</t>
  </si>
  <si>
    <t>1,0900338</t>
  </si>
  <si>
    <t>1,2486914</t>
  </si>
  <si>
    <t>1,4051833</t>
  </si>
  <si>
    <t>1,4962869</t>
  </si>
  <si>
    <t>1,2054642</t>
  </si>
  <si>
    <t>1,2728075</t>
  </si>
  <si>
    <t>1,0943314</t>
  </si>
  <si>
    <t>1,1590203</t>
  </si>
  <si>
    <t>1,2753005</t>
  </si>
  <si>
    <t>1,3835409</t>
  </si>
  <si>
    <t>1,6639725</t>
  </si>
  <si>
    <t>1,8011516</t>
  </si>
  <si>
    <t>1,2345329</t>
  </si>
  <si>
    <t>1,2916053</t>
  </si>
  <si>
    <t>0,8922097</t>
  </si>
  <si>
    <t>1,0048779</t>
  </si>
  <si>
    <t>1,5823095</t>
  </si>
  <si>
    <t>1,7267295</t>
  </si>
  <si>
    <t>1,3218581</t>
  </si>
  <si>
    <t>1,4374788</t>
  </si>
  <si>
    <t>1,5017311</t>
  </si>
  <si>
    <t>1,5729072</t>
  </si>
  <si>
    <t>1,2904644</t>
  </si>
  <si>
    <t>1,3544575</t>
  </si>
  <si>
    <t>1,3804235</t>
  </si>
  <si>
    <t>1,4676129</t>
  </si>
  <si>
    <t>1,3920992</t>
  </si>
  <si>
    <t>1,5712766</t>
  </si>
  <si>
    <t>1,4713658</t>
  </si>
  <si>
    <t>1,5222228</t>
  </si>
  <si>
    <t>1,2510852</t>
  </si>
  <si>
    <t>1,36216</t>
  </si>
  <si>
    <t>1,4136429</t>
  </si>
  <si>
    <t>1,4749924</t>
  </si>
  <si>
    <t>1,0473164</t>
  </si>
  <si>
    <t>1,1670453</t>
  </si>
  <si>
    <t>1,8729774</t>
  </si>
  <si>
    <t>2,0129916</t>
  </si>
  <si>
    <t>1,0683706</t>
  </si>
  <si>
    <t>1,1618592</t>
  </si>
  <si>
    <t>1,1288328</t>
  </si>
  <si>
    <t>1,2128925</t>
  </si>
  <si>
    <t>1,4806462</t>
  </si>
  <si>
    <t>1,5986462</t>
  </si>
  <si>
    <t>1,1447572</t>
  </si>
  <si>
    <t>1,2937909</t>
  </si>
  <si>
    <t>1,1182335</t>
  </si>
  <si>
    <t>1,5019317</t>
  </si>
  <si>
    <t>1,1702167</t>
  </si>
  <si>
    <t>1,5732717</t>
  </si>
  <si>
    <t>1,2851547</t>
  </si>
  <si>
    <t>1,4312602</t>
  </si>
  <si>
    <t>1,1532077</t>
  </si>
  <si>
    <t>1,2007895</t>
  </si>
  <si>
    <t>1,1459496</t>
  </si>
  <si>
    <t>1,2344233</t>
  </si>
  <si>
    <t>1,1803607</t>
  </si>
  <si>
    <t>1,3250783</t>
  </si>
  <si>
    <t>1,258792</t>
  </si>
  <si>
    <t>1,3614836</t>
  </si>
  <si>
    <t>1,1662282</t>
  </si>
  <si>
    <t>1,2743518</t>
  </si>
  <si>
    <t>1,2697527</t>
  </si>
  <si>
    <t>1,3846245</t>
  </si>
  <si>
    <t>1,0972818</t>
  </si>
  <si>
    <t>1,1960798</t>
  </si>
  <si>
    <t>1,5475642</t>
  </si>
  <si>
    <t>1,6962871</t>
  </si>
  <si>
    <t>0,9666891</t>
  </si>
  <si>
    <t>1,1111843</t>
  </si>
  <si>
    <t>1,0284773</t>
  </si>
  <si>
    <t>1,0912082</t>
  </si>
  <si>
    <t>1,2059845</t>
  </si>
  <si>
    <t>1,2623223</t>
  </si>
  <si>
    <t>1,1318037</t>
  </si>
  <si>
    <t>1,3028942</t>
  </si>
  <si>
    <t>1,0500579</t>
  </si>
  <si>
    <t>1,2310098</t>
  </si>
  <si>
    <t>1,1545624</t>
  </si>
  <si>
    <t>1,2932044</t>
  </si>
  <si>
    <t>1,50949</t>
  </si>
  <si>
    <t>1,5963844</t>
  </si>
  <si>
    <t>1,0478756</t>
  </si>
  <si>
    <t>1,1998681</t>
  </si>
  <si>
    <t>1,1948901</t>
  </si>
  <si>
    <t>1,2554076</t>
  </si>
  <si>
    <t>1,1345004</t>
  </si>
  <si>
    <t>1,0881247</t>
  </si>
  <si>
    <t>0,9244482</t>
  </si>
  <si>
    <t>1,1746064</t>
  </si>
  <si>
    <t>1,2402228</t>
  </si>
  <si>
    <t>0,9962301</t>
  </si>
  <si>
    <t>1,0672425</t>
  </si>
  <si>
    <t>0,9579464</t>
  </si>
  <si>
    <t>1,0651045</t>
  </si>
  <si>
    <t>1,0908869</t>
  </si>
  <si>
    <t>1,2576023</t>
  </si>
  <si>
    <t>1,0968665</t>
  </si>
  <si>
    <t>1,1678225</t>
  </si>
  <si>
    <t>1,1758228</t>
  </si>
  <si>
    <t>1,2924338</t>
  </si>
  <si>
    <t>0,9227058</t>
  </si>
  <si>
    <t>0,9941393</t>
  </si>
  <si>
    <t>1,0846984</t>
  </si>
  <si>
    <t>1,1681316</t>
  </si>
  <si>
    <t>1,118052</t>
  </si>
  <si>
    <t>1,2545252</t>
  </si>
  <si>
    <t>1,1405587</t>
  </si>
  <si>
    <t>1,2379436</t>
  </si>
  <si>
    <t>1,0313548</t>
  </si>
  <si>
    <t>1,1082127</t>
  </si>
  <si>
    <t>1,1896241</t>
  </si>
  <si>
    <t>1,2997394</t>
  </si>
  <si>
    <t>1,0049504</t>
  </si>
  <si>
    <t>1,1561816</t>
  </si>
  <si>
    <t>1,0427798</t>
  </si>
  <si>
    <t>1,1655366</t>
  </si>
  <si>
    <t>1,0789239</t>
  </si>
  <si>
    <t>1,1909993</t>
  </si>
  <si>
    <t>1,2838222</t>
  </si>
  <si>
    <t>1,3907045</t>
  </si>
  <si>
    <t>0,8460148</t>
  </si>
  <si>
    <t>0,9518614</t>
  </si>
  <si>
    <t>1,1875594</t>
  </si>
  <si>
    <t>1,3402052</t>
  </si>
  <si>
    <t>1,2370512</t>
  </si>
  <si>
    <t>1,3941308</t>
  </si>
  <si>
    <t>1,0677136</t>
  </si>
  <si>
    <t>1,2139644</t>
  </si>
  <si>
    <t>1,1973578</t>
  </si>
  <si>
    <t>1,3148838</t>
  </si>
  <si>
    <t>1,1572015</t>
  </si>
  <si>
    <t>1,3238051</t>
  </si>
  <si>
    <t>1,478721</t>
  </si>
  <si>
    <t>1,5509531</t>
  </si>
  <si>
    <t>1,0300146</t>
  </si>
  <si>
    <t>1,1622171</t>
  </si>
  <si>
    <t>1,0315445</t>
  </si>
  <si>
    <t>1,1546278</t>
  </si>
  <si>
    <t>1,2055989</t>
  </si>
  <si>
    <t>1,4624</t>
  </si>
  <si>
    <t>1,0747293</t>
  </si>
  <si>
    <t>1,1870935</t>
  </si>
  <si>
    <t>1,1827202</t>
  </si>
  <si>
    <t>1,2574721</t>
  </si>
  <si>
    <t>1,3872359</t>
  </si>
  <si>
    <t>1,5227937</t>
  </si>
  <si>
    <t>1,145936</t>
  </si>
  <si>
    <t>1,2587231</t>
  </si>
  <si>
    <t>1,0383595</t>
  </si>
  <si>
    <t>1,1735128</t>
  </si>
  <si>
    <t>1,1881655</t>
  </si>
  <si>
    <t>1,2937105</t>
  </si>
  <si>
    <t>1,3225799</t>
  </si>
  <si>
    <t>1,4764122</t>
  </si>
  <si>
    <t>1,2547411</t>
  </si>
  <si>
    <t>1,3186937</t>
  </si>
  <si>
    <t>1,1058466</t>
  </si>
  <si>
    <t>1,2806293</t>
  </si>
  <si>
    <t>1,0618391</t>
  </si>
  <si>
    <t>1,1398728</t>
  </si>
  <si>
    <t>1,1625062</t>
  </si>
  <si>
    <t>1,3306626</t>
  </si>
  <si>
    <t>1,3976316</t>
  </si>
  <si>
    <t>1,5066402</t>
  </si>
  <si>
    <t>1,0253234</t>
  </si>
  <si>
    <t>1,1427918</t>
  </si>
  <si>
    <t>1,0845331</t>
  </si>
  <si>
    <t>1,2005768</t>
  </si>
  <si>
    <t>0,8945553</t>
  </si>
  <si>
    <t>1,0056326</t>
  </si>
  <si>
    <t>1,0562668</t>
  </si>
  <si>
    <t>1,1956615</t>
  </si>
  <si>
    <t>1,2923357</t>
  </si>
  <si>
    <t>1,34588</t>
  </si>
  <si>
    <t>1,0744946</t>
  </si>
  <si>
    <t>1,1698846</t>
  </si>
  <si>
    <t>1,1566864</t>
  </si>
  <si>
    <t>1,3177321</t>
  </si>
  <si>
    <t>0,9870228</t>
  </si>
  <si>
    <t>1,1544639</t>
  </si>
  <si>
    <t>1,1205185</t>
  </si>
  <si>
    <t>1,2249472</t>
  </si>
  <si>
    <t>0,963925</t>
  </si>
  <si>
    <t>1,1247978</t>
  </si>
  <si>
    <t>1,0727101</t>
  </si>
  <si>
    <t>0,9304011</t>
  </si>
  <si>
    <t>1,0865337</t>
  </si>
  <si>
    <t>1,1651111</t>
  </si>
  <si>
    <t>1,1497613</t>
  </si>
  <si>
    <t>1,2823523</t>
  </si>
  <si>
    <t>0,9536905</t>
  </si>
  <si>
    <t>1,1228235</t>
  </si>
  <si>
    <t>1,1019841</t>
  </si>
  <si>
    <t>1,1769603</t>
  </si>
  <si>
    <t>1,0684497</t>
  </si>
  <si>
    <t>1,1612624</t>
  </si>
  <si>
    <t>0,844266</t>
  </si>
  <si>
    <t>0,9514622</t>
  </si>
  <si>
    <t>0,9313553</t>
  </si>
  <si>
    <t>1,0000136</t>
  </si>
  <si>
    <t>1,453768</t>
  </si>
  <si>
    <t>1,5722876</t>
  </si>
  <si>
    <t>0,9629475</t>
  </si>
  <si>
    <t>1,1132908</t>
  </si>
  <si>
    <t>1,0651627</t>
  </si>
  <si>
    <t>1,1382841</t>
  </si>
  <si>
    <t>0,8666255</t>
  </si>
  <si>
    <t>1,0090479</t>
  </si>
  <si>
    <t>0,770758</t>
  </si>
  <si>
    <t>0,8842556</t>
  </si>
  <si>
    <t>1,0236673</t>
  </si>
  <si>
    <t>1,1852101</t>
  </si>
  <si>
    <t>1,197501</t>
  </si>
  <si>
    <t>1,3005862</t>
  </si>
  <si>
    <t>0,9061583</t>
  </si>
  <si>
    <t>1,081683</t>
  </si>
  <si>
    <t>0,8865568</t>
  </si>
  <si>
    <t>1,0623873</t>
  </si>
  <si>
    <t>1,0016585</t>
  </si>
  <si>
    <t>1,1243727</t>
  </si>
  <si>
    <t>0,9695171</t>
  </si>
  <si>
    <t>1,037588</t>
  </si>
  <si>
    <t>0,9131536</t>
  </si>
  <si>
    <t>0,9729347</t>
  </si>
  <si>
    <t>0,8303816</t>
  </si>
  <si>
    <t>0,9683414</t>
  </si>
  <si>
    <t>0,9680525</t>
  </si>
  <si>
    <t>1,0265784</t>
  </si>
  <si>
    <t>0,8856815</t>
  </si>
  <si>
    <t>1,0568149</t>
  </si>
  <si>
    <t>0,7747935</t>
  </si>
  <si>
    <t>0,929105</t>
  </si>
  <si>
    <t>1,0282613</t>
  </si>
  <si>
    <t>0,9350945</t>
  </si>
  <si>
    <t>0,8972317</t>
  </si>
  <si>
    <t>1,0440668</t>
  </si>
  <si>
    <t>0,6840676</t>
  </si>
  <si>
    <t>0,8194638</t>
  </si>
  <si>
    <t>0,6807466</t>
  </si>
  <si>
    <t>0,8791824</t>
  </si>
  <si>
    <t>0,7856715</t>
  </si>
  <si>
    <t>0,9642583</t>
  </si>
  <si>
    <t>0,9723736</t>
  </si>
  <si>
    <t>1,0179835</t>
  </si>
  <si>
    <t>0,9049949</t>
  </si>
  <si>
    <t>1,0527631</t>
  </si>
  <si>
    <t>1,0259812</t>
  </si>
  <si>
    <t>1,1419991</t>
  </si>
  <si>
    <t>0,882038</t>
  </si>
  <si>
    <t>0,9620049</t>
  </si>
  <si>
    <t>0,8710476</t>
  </si>
  <si>
    <t>0,9332284</t>
  </si>
  <si>
    <t>1,0086324</t>
  </si>
  <si>
    <t>0,7354333</t>
  </si>
  <si>
    <t>0,8888206</t>
  </si>
  <si>
    <t>0,7787096</t>
  </si>
  <si>
    <t>0,7831158</t>
  </si>
  <si>
    <t>0,8846904</t>
  </si>
  <si>
    <t>0,9380873</t>
  </si>
  <si>
    <t>1,0375237</t>
  </si>
  <si>
    <t>0,8549845</t>
  </si>
  <si>
    <t>0,969273</t>
  </si>
  <si>
    <t>0,9284034</t>
  </si>
  <si>
    <t>1,0985103</t>
  </si>
  <si>
    <t>1,012722</t>
  </si>
  <si>
    <t>1,0493603</t>
  </si>
  <si>
    <t>0,9309783</t>
  </si>
  <si>
    <t>1,0718198</t>
  </si>
  <si>
    <t>0,8760273</t>
  </si>
  <si>
    <t>1,0164671</t>
  </si>
  <si>
    <t>0,8941004</t>
  </si>
  <si>
    <t>0,941162</t>
  </si>
  <si>
    <t>0,9085654</t>
  </si>
  <si>
    <t>1,0304942</t>
  </si>
  <si>
    <t>0,923391</t>
  </si>
  <si>
    <t>1,003409</t>
  </si>
  <si>
    <t>0,8014028</t>
  </si>
  <si>
    <t>0,8934888</t>
  </si>
  <si>
    <t>0,8734822</t>
  </si>
  <si>
    <t>0,9498096</t>
  </si>
  <si>
    <t>0,96401</t>
  </si>
  <si>
    <t>1,0334885</t>
  </si>
  <si>
    <t>0,654109</t>
  </si>
  <si>
    <t>0,7787202</t>
  </si>
  <si>
    <t>0,8425281</t>
  </si>
  <si>
    <t>0,9862334</t>
  </si>
  <si>
    <t>0,8450952</t>
  </si>
  <si>
    <t>0,9976289</t>
  </si>
  <si>
    <t>0,9906611</t>
  </si>
  <si>
    <t>1,1477647</t>
  </si>
  <si>
    <t>0,7287559</t>
  </si>
  <si>
    <t>0,8569761</t>
  </si>
  <si>
    <t>0,8437321</t>
  </si>
  <si>
    <t>0,9586039</t>
  </si>
  <si>
    <t>0,8629046</t>
  </si>
  <si>
    <t>0,9086439</t>
  </si>
  <si>
    <t>1,0602664</t>
  </si>
  <si>
    <t>1,1788421</t>
  </si>
  <si>
    <t>0,8363269</t>
  </si>
  <si>
    <t>0,8870646</t>
  </si>
  <si>
    <t>1,0012269</t>
  </si>
  <si>
    <t>1,0380577</t>
  </si>
  <si>
    <t>0,9497762</t>
  </si>
  <si>
    <t>0,9408478</t>
  </si>
  <si>
    <t>1,073234</t>
  </si>
  <si>
    <t>0,9616455</t>
  </si>
  <si>
    <t>1,0742514</t>
  </si>
  <si>
    <t>0,7951506</t>
  </si>
  <si>
    <t>0,9495648</t>
  </si>
  <si>
    <t>0,8777483</t>
  </si>
  <si>
    <t>0,9643863</t>
  </si>
  <si>
    <t>0,8563075</t>
  </si>
  <si>
    <t>0,9254126</t>
  </si>
  <si>
    <t>0,9208327</t>
  </si>
  <si>
    <t>1,0064823</t>
  </si>
  <si>
    <t>1,0081648</t>
  </si>
  <si>
    <t>0,9096167</t>
  </si>
  <si>
    <t>1,0689006</t>
  </si>
  <si>
    <t>0,9801113</t>
  </si>
  <si>
    <t>1,0697865</t>
  </si>
  <si>
    <t>0,757126</t>
  </si>
  <si>
    <t>0,8214485</t>
  </si>
  <si>
    <t>1,0445947</t>
  </si>
  <si>
    <t>0,9446386</t>
  </si>
  <si>
    <t>1,0490363</t>
  </si>
  <si>
    <t>0,9212162</t>
  </si>
  <si>
    <t>1,0168943</t>
  </si>
  <si>
    <t>0,7451735</t>
  </si>
  <si>
    <t>0,8413083</t>
  </si>
  <si>
    <t>1,0830343</t>
  </si>
  <si>
    <t>1,1880254</t>
  </si>
  <si>
    <t>1,0768824</t>
  </si>
  <si>
    <t>1,2531223</t>
  </si>
  <si>
    <t>1,1444022</t>
  </si>
  <si>
    <t>1,2249962</t>
  </si>
  <si>
    <t>1,4609987</t>
  </si>
  <si>
    <t>1,5363287</t>
  </si>
  <si>
    <t>1,2355703</t>
  </si>
  <si>
    <t>1,3557658</t>
  </si>
  <si>
    <t>1,9823025</t>
  </si>
  <si>
    <t>2,1033251</t>
  </si>
  <si>
    <t>1,4756617</t>
  </si>
  <si>
    <t>1,6884051</t>
  </si>
  <si>
    <t>1,5776892</t>
  </si>
  <si>
    <t>1,7609885</t>
  </si>
  <si>
    <t>2,0260488</t>
  </si>
  <si>
    <t>2,2300473</t>
  </si>
  <si>
    <t>1,474868</t>
  </si>
  <si>
    <t>1,5590076</t>
  </si>
  <si>
    <t>1,3626387</t>
  </si>
  <si>
    <t>1,4309439</t>
  </si>
  <si>
    <t>1,1325493</t>
  </si>
  <si>
    <t>1,1361142</t>
  </si>
  <si>
    <t>1,1911263</t>
  </si>
  <si>
    <t>0,986303</t>
  </si>
  <si>
    <t>1,4426206</t>
  </si>
  <si>
    <t>1,5414141</t>
  </si>
  <si>
    <t>1,6880174</t>
  </si>
  <si>
    <t>1,7531562</t>
  </si>
  <si>
    <t>1,3804836</t>
  </si>
  <si>
    <t>1,4441888</t>
  </si>
  <si>
    <t>1,2303143</t>
  </si>
  <si>
    <t>1,2959267</t>
  </si>
  <si>
    <t>1,215071</t>
  </si>
  <si>
    <t>1,2664897</t>
  </si>
  <si>
    <t>0,86409</t>
  </si>
  <si>
    <t>0,9508656</t>
  </si>
  <si>
    <t>1,4493378</t>
  </si>
  <si>
    <t>1,5487601</t>
  </si>
  <si>
    <t>1,4309752</t>
  </si>
  <si>
    <t>1,5041115</t>
  </si>
  <si>
    <t>1,2492396</t>
  </si>
  <si>
    <t>1,3180081</t>
  </si>
  <si>
    <t>1,1792136</t>
  </si>
  <si>
    <t>1,2764807</t>
  </si>
  <si>
    <t>1,0708396</t>
  </si>
  <si>
    <t>1,1194546</t>
  </si>
  <si>
    <t>1,1516344</t>
  </si>
  <si>
    <t>1,2724119</t>
  </si>
  <si>
    <t>1,5371238</t>
  </si>
  <si>
    <t>1,6026402</t>
  </si>
  <si>
    <t>1,0841576</t>
  </si>
  <si>
    <t>1,2258137</t>
  </si>
  <si>
    <t>1,1044869</t>
  </si>
  <si>
    <t>1,637879</t>
  </si>
  <si>
    <t>1,4020983</t>
  </si>
  <si>
    <t>1,4982757</t>
  </si>
  <si>
    <t>1,3974009</t>
  </si>
  <si>
    <t>1,4419932</t>
  </si>
  <si>
    <t>1,0597896</t>
  </si>
  <si>
    <t>1,1285331</t>
  </si>
  <si>
    <t>1,4109146</t>
  </si>
  <si>
    <t>1,4729542</t>
  </si>
  <si>
    <t>1,2348407</t>
  </si>
  <si>
    <t>1,3076886</t>
  </si>
  <si>
    <t>1,2435107</t>
  </si>
  <si>
    <t>1,4009334</t>
  </si>
  <si>
    <t>1,0048623</t>
  </si>
  <si>
    <t>1,1900885</t>
  </si>
  <si>
    <t>1,242856</t>
  </si>
  <si>
    <t>1,326644</t>
  </si>
  <si>
    <t>1,2010926</t>
  </si>
  <si>
    <t>1,3668756</t>
  </si>
  <si>
    <t>1,3022612</t>
  </si>
  <si>
    <t>1,4371304</t>
  </si>
  <si>
    <t>1,2596458</t>
  </si>
  <si>
    <t>1,4005457</t>
  </si>
  <si>
    <t>1,154987</t>
  </si>
  <si>
    <t>1,3180376</t>
  </si>
  <si>
    <t>0,9415315</t>
  </si>
  <si>
    <t>1,1622887</t>
  </si>
  <si>
    <t>1,1753609</t>
  </si>
  <si>
    <t>1,3029023</t>
  </si>
  <si>
    <t>1,3323287</t>
  </si>
  <si>
    <t>1,4871844</t>
  </si>
  <si>
    <t>1,183389</t>
  </si>
  <si>
    <t>1,3585574</t>
  </si>
  <si>
    <t>1,4384969</t>
  </si>
  <si>
    <t>1,6137638</t>
  </si>
  <si>
    <t>1,1804924</t>
  </si>
  <si>
    <t>1,2961947</t>
  </si>
  <si>
    <t>1,0147806</t>
  </si>
  <si>
    <t>1,1294024</t>
  </si>
  <si>
    <t>1,1723532</t>
  </si>
  <si>
    <t>1,2773263</t>
  </si>
  <si>
    <t>0,9865683</t>
  </si>
  <si>
    <t>1,142574</t>
  </si>
  <si>
    <t>1,1841003</t>
  </si>
  <si>
    <t>1,3339912</t>
  </si>
  <si>
    <t>1,3594965</t>
  </si>
  <si>
    <t>1,4547272</t>
  </si>
  <si>
    <t>1,14424</t>
  </si>
  <si>
    <t>1,300999</t>
  </si>
  <si>
    <t>1,3480847</t>
  </si>
  <si>
    <t>1,2701196</t>
  </si>
  <si>
    <t>1,4428999</t>
  </si>
  <si>
    <t>1,1391392</t>
  </si>
  <si>
    <t>1,2903001</t>
  </si>
  <si>
    <t>1,1034464</t>
  </si>
  <si>
    <t>1,2099981</t>
  </si>
  <si>
    <t>1,2420254</t>
  </si>
  <si>
    <t>1,3025637</t>
  </si>
  <si>
    <t>0,9412802</t>
  </si>
  <si>
    <t>1,0338378</t>
  </si>
  <si>
    <t>1,3407033</t>
  </si>
  <si>
    <t>1,5060202</t>
  </si>
  <si>
    <t>1,3073334</t>
  </si>
  <si>
    <t>1,4926629</t>
  </si>
  <si>
    <t>1,0997743</t>
  </si>
  <si>
    <t>1,1771995</t>
  </si>
  <si>
    <t>1,3767795</t>
  </si>
  <si>
    <t>1,5148084</t>
  </si>
  <si>
    <t>1,1731917</t>
  </si>
  <si>
    <t>1,3344592</t>
  </si>
  <si>
    <t>0,951066</t>
  </si>
  <si>
    <t>0,9742461</t>
  </si>
  <si>
    <t>1,0867531</t>
  </si>
  <si>
    <t>1,1958165</t>
  </si>
  <si>
    <t>1,3678814</t>
  </si>
  <si>
    <t>1,5239228</t>
  </si>
  <si>
    <t>1,5665281</t>
  </si>
  <si>
    <t>1,5134771</t>
  </si>
  <si>
    <t>1,58605</t>
  </si>
  <si>
    <t>1,1505082</t>
  </si>
  <si>
    <t>1,2808149</t>
  </si>
  <si>
    <t>1,0442146</t>
  </si>
  <si>
    <t>0,9717784</t>
  </si>
  <si>
    <t>1,080088</t>
  </si>
  <si>
    <t>1,2750394</t>
  </si>
  <si>
    <t>1,3830827</t>
  </si>
  <si>
    <t>1,3440679</t>
  </si>
  <si>
    <t>1,3878785</t>
  </si>
  <si>
    <t>1,3466707</t>
  </si>
  <si>
    <t>1,42656</t>
  </si>
  <si>
    <t>1,2504667</t>
  </si>
  <si>
    <t>1,4188701</t>
  </si>
  <si>
    <t>1,5929862</t>
  </si>
  <si>
    <t>1,7453025</t>
  </si>
  <si>
    <t>1,4588467</t>
  </si>
  <si>
    <t>1,6254414</t>
  </si>
  <si>
    <t>1,1473032</t>
  </si>
  <si>
    <t>1,3347768</t>
  </si>
  <si>
    <t>1,3238091</t>
  </si>
  <si>
    <t>1,4547986</t>
  </si>
  <si>
    <t>1,089819</t>
  </si>
  <si>
    <t>1,148044</t>
  </si>
  <si>
    <t>1,2527946</t>
  </si>
  <si>
    <t>1,3877808</t>
  </si>
  <si>
    <t>1,2231426</t>
  </si>
  <si>
    <t>1,3219099</t>
  </si>
  <si>
    <t>1,2118102</t>
  </si>
  <si>
    <t>1,3423011</t>
  </si>
  <si>
    <t>1,2933673</t>
  </si>
  <si>
    <t>1,4714211</t>
  </si>
  <si>
    <t>1,3790134</t>
  </si>
  <si>
    <t>1,5263265</t>
  </si>
  <si>
    <t>1,3778294</t>
  </si>
  <si>
    <t>1,5289553</t>
  </si>
  <si>
    <t>1,2138936</t>
  </si>
  <si>
    <t>1,2626242</t>
  </si>
  <si>
    <t>1,2653173</t>
  </si>
  <si>
    <t>1,4140191</t>
  </si>
  <si>
    <t>1,3525458</t>
  </si>
  <si>
    <t>1,5311047</t>
  </si>
  <si>
    <t>1,3411802</t>
  </si>
  <si>
    <t>1,4162436</t>
  </si>
  <si>
    <t>1,1271185</t>
  </si>
  <si>
    <t>0,9935195</t>
  </si>
  <si>
    <t>1,183214</t>
  </si>
  <si>
    <t>1,3184573</t>
  </si>
  <si>
    <t>1,0887224</t>
  </si>
  <si>
    <t>1,1322324</t>
  </si>
  <si>
    <t>0,895388</t>
  </si>
  <si>
    <t>1,0517626</t>
  </si>
  <si>
    <t>1,2964399</t>
  </si>
  <si>
    <t>1,464912</t>
  </si>
  <si>
    <t>1,5143567</t>
  </si>
  <si>
    <t>1,6606717</t>
  </si>
  <si>
    <t>1,3687284</t>
  </si>
  <si>
    <t>1,480847</t>
  </si>
  <si>
    <t>1,2406782</t>
  </si>
  <si>
    <t>1,3575587</t>
  </si>
  <si>
    <t>1,2855279</t>
  </si>
  <si>
    <t>1,3515062</t>
  </si>
  <si>
    <t>1,3893549</t>
  </si>
  <si>
    <t>1,5341034</t>
  </si>
  <si>
    <t>1,3957659</t>
  </si>
  <si>
    <t>1,6105243</t>
  </si>
  <si>
    <t>1,0670355</t>
  </si>
  <si>
    <t>1,2408598</t>
  </si>
  <si>
    <t>1,2096707</t>
  </si>
  <si>
    <t>1,3683074</t>
  </si>
  <si>
    <t>1,1385968</t>
  </si>
  <si>
    <t>1,2129191</t>
  </si>
  <si>
    <t>1,0216347</t>
  </si>
  <si>
    <t>1,0658246</t>
  </si>
  <si>
    <t>1,2352166</t>
  </si>
  <si>
    <t>1,3181751</t>
  </si>
  <si>
    <t>1,135869</t>
  </si>
  <si>
    <t>1,1976539</t>
  </si>
  <si>
    <t>1,0793636</t>
  </si>
  <si>
    <t>1,1800021</t>
  </si>
  <si>
    <t>1,1445924</t>
  </si>
  <si>
    <t>1,2688198</t>
  </si>
  <si>
    <t>1,0278413</t>
  </si>
  <si>
    <t>1,1221056</t>
  </si>
  <si>
    <t>1,2007567</t>
  </si>
  <si>
    <t>1,3124878</t>
  </si>
  <si>
    <t>0,8700805</t>
  </si>
  <si>
    <t>0,9640555</t>
  </si>
  <si>
    <t>1,1707282</t>
  </si>
  <si>
    <t>1,2528012</t>
  </si>
  <si>
    <t>1,2273286</t>
  </si>
  <si>
    <t>1,3437559</t>
  </si>
  <si>
    <t>1,1145509</t>
  </si>
  <si>
    <t>1,1839002</t>
  </si>
  <si>
    <t>1,1433912</t>
  </si>
  <si>
    <t>1,281195</t>
  </si>
  <si>
    <t>1,038752</t>
  </si>
  <si>
    <t>1,125711</t>
  </si>
  <si>
    <t>1,2787183</t>
  </si>
  <si>
    <t>1,4108241</t>
  </si>
  <si>
    <t>1,2108354</t>
  </si>
  <si>
    <t>1,3937298</t>
  </si>
  <si>
    <t>1,1655581</t>
  </si>
  <si>
    <t>1,2120409</t>
  </si>
  <si>
    <t>1,2945447</t>
  </si>
  <si>
    <t>1,3372008</t>
  </si>
  <si>
    <t>1,3362791</t>
  </si>
  <si>
    <t>1,4984916</t>
  </si>
  <si>
    <t>1,2651875</t>
  </si>
  <si>
    <t>1,4350251</t>
  </si>
  <si>
    <t>1,1312974</t>
  </si>
  <si>
    <t>1,2535086</t>
  </si>
  <si>
    <t>1,5055414</t>
  </si>
  <si>
    <t>1,6303423</t>
  </si>
  <si>
    <t>1,5350778</t>
  </si>
  <si>
    <t>1,6644201</t>
  </si>
  <si>
    <t>1,8968159</t>
  </si>
  <si>
    <t>1,9950268</t>
  </si>
  <si>
    <t>1,8211044</t>
  </si>
  <si>
    <t>1,862728</t>
  </si>
  <si>
    <t>1,5652452</t>
  </si>
  <si>
    <t>1,6220091</t>
  </si>
  <si>
    <t>1,4733188</t>
  </si>
  <si>
    <t>1,6311827</t>
  </si>
  <si>
    <t>1,3176436</t>
  </si>
  <si>
    <t>1,4883676</t>
  </si>
  <si>
    <t>1,0812299</t>
  </si>
  <si>
    <t>1,2515958</t>
  </si>
  <si>
    <t>1,1381954</t>
  </si>
  <si>
    <t>1,2564049</t>
  </si>
  <si>
    <t>1,4115481</t>
  </si>
  <si>
    <t>1,5703996</t>
  </si>
  <si>
    <t>1,308278</t>
  </si>
  <si>
    <t>1,457988</t>
  </si>
  <si>
    <t>1,1828216</t>
  </si>
  <si>
    <t>1,2287033</t>
  </si>
  <si>
    <t>1,005972</t>
  </si>
  <si>
    <t>1,1356777</t>
  </si>
  <si>
    <t>1,1332853</t>
  </si>
  <si>
    <t>1,2065876</t>
  </si>
  <si>
    <t>1,6172992</t>
  </si>
  <si>
    <t>1,7062775</t>
  </si>
  <si>
    <t>1,1360836</t>
  </si>
  <si>
    <t>1,3013697</t>
  </si>
  <si>
    <t>1,1057173</t>
  </si>
  <si>
    <t>1,2245309</t>
  </si>
  <si>
    <t>1,1385439</t>
  </si>
  <si>
    <t>1,1810418</t>
  </si>
  <si>
    <t>1,2435286</t>
  </si>
  <si>
    <t>1,3401036</t>
  </si>
  <si>
    <t>1,2296291</t>
  </si>
  <si>
    <t>1,2813783</t>
  </si>
  <si>
    <t>1,2468466</t>
  </si>
  <si>
    <t>1,3984626</t>
  </si>
  <si>
    <t>1,1231229</t>
  </si>
  <si>
    <t>1,171119</t>
  </si>
  <si>
    <t>1,1192366</t>
  </si>
  <si>
    <t>1,2364285</t>
  </si>
  <si>
    <t>1,2954729</t>
  </si>
  <si>
    <t>1,4079284</t>
  </si>
  <si>
    <t>1,0838629</t>
  </si>
  <si>
    <t>1,1842041</t>
  </si>
  <si>
    <t>0,932643</t>
  </si>
  <si>
    <t>1,001046</t>
  </si>
  <si>
    <t>1,439394</t>
  </si>
  <si>
    <t>1,5507416</t>
  </si>
  <si>
    <t>1,3057696</t>
  </si>
  <si>
    <t>1,4942041</t>
  </si>
  <si>
    <t>0,9997822</t>
  </si>
  <si>
    <t>1,1346463</t>
  </si>
  <si>
    <t>1,1522338</t>
  </si>
  <si>
    <t>1,2615154</t>
  </si>
  <si>
    <t>1,36761</t>
  </si>
  <si>
    <t>1,4924713</t>
  </si>
  <si>
    <t>1,0321455</t>
  </si>
  <si>
    <t>1,1348231</t>
  </si>
  <si>
    <t>1,2098066</t>
  </si>
  <si>
    <t>1,2977126</t>
  </si>
  <si>
    <t>1,0422826</t>
  </si>
  <si>
    <t>1,1766973</t>
  </si>
  <si>
    <t>1,1696421</t>
  </si>
  <si>
    <t>1,2917624</t>
  </si>
  <si>
    <t>1,1906839</t>
  </si>
  <si>
    <t>1,2681415</t>
  </si>
  <si>
    <t>1,0811815</t>
  </si>
  <si>
    <t>1,2451728</t>
  </si>
  <si>
    <t>1,0375843</t>
  </si>
  <si>
    <t>1,1735545</t>
  </si>
  <si>
    <t>1,201974</t>
  </si>
  <si>
    <t>1,2555114</t>
  </si>
  <si>
    <t>1,3926898</t>
  </si>
  <si>
    <t>1,5448387</t>
  </si>
  <si>
    <t>1,2735437</t>
  </si>
  <si>
    <t>1,3795517</t>
  </si>
  <si>
    <t>1,261572</t>
  </si>
  <si>
    <t>1,4145894</t>
  </si>
  <si>
    <t>1,4552649</t>
  </si>
  <si>
    <t>1,6017155</t>
  </si>
  <si>
    <t>1,2817487</t>
  </si>
  <si>
    <t>1,3270715</t>
  </si>
  <si>
    <t>1,2743515</t>
  </si>
  <si>
    <t>1,4551372</t>
  </si>
  <si>
    <t>1,1750289</t>
  </si>
  <si>
    <t>1,2196709</t>
  </si>
  <si>
    <t>0,9499159</t>
  </si>
  <si>
    <t>1,0449813</t>
  </si>
  <si>
    <t>1,160115</t>
  </si>
  <si>
    <t>1,3263274</t>
  </si>
  <si>
    <t>1,1469978</t>
  </si>
  <si>
    <t>1,2998601</t>
  </si>
  <si>
    <t>1,1026456</t>
  </si>
  <si>
    <t>1,1614326</t>
  </si>
  <si>
    <t>1,0059356</t>
  </si>
  <si>
    <t>1,0541704</t>
  </si>
  <si>
    <t>1,3854346</t>
  </si>
  <si>
    <t>1,4835288</t>
  </si>
  <si>
    <t>1,157326</t>
  </si>
  <si>
    <t>1,2394244</t>
  </si>
  <si>
    <t>1,0936454</t>
  </si>
  <si>
    <t>1,1442358</t>
  </si>
  <si>
    <t>1,0656651</t>
  </si>
  <si>
    <t>1,1661377</t>
  </si>
  <si>
    <t>1,2569354</t>
  </si>
  <si>
    <t>1,3184591</t>
  </si>
  <si>
    <t>1,1099041</t>
  </si>
  <si>
    <t>1,2018839</t>
  </si>
  <si>
    <t>1,1739135</t>
  </si>
  <si>
    <t>1,3372249</t>
  </si>
  <si>
    <t>1,1451834</t>
  </si>
  <si>
    <t>1,2718061</t>
  </si>
  <si>
    <t>1,4536235</t>
  </si>
  <si>
    <t>1,5987807</t>
  </si>
  <si>
    <t>1,3274636</t>
  </si>
  <si>
    <t>1,4026755</t>
  </si>
  <si>
    <t>1,3118601</t>
  </si>
  <si>
    <t>1,4012097</t>
  </si>
  <si>
    <t>1,0977613</t>
  </si>
  <si>
    <t>1,2013569</t>
  </si>
  <si>
    <t>1,0317193</t>
  </si>
  <si>
    <t>1,0773568</t>
  </si>
  <si>
    <t>1,2564102</t>
  </si>
  <si>
    <t>1,3576417</t>
  </si>
  <si>
    <t>1,0880652</t>
  </si>
  <si>
    <t>1,1399618</t>
  </si>
  <si>
    <t>1,2437175</t>
  </si>
  <si>
    <t>1,4014059</t>
  </si>
  <si>
    <t>1,0480433</t>
  </si>
  <si>
    <t>0,9969835</t>
  </si>
  <si>
    <t>1,1660914</t>
  </si>
  <si>
    <t>1,2847963</t>
  </si>
  <si>
    <t>1,2489225</t>
  </si>
  <si>
    <t>1,3757415</t>
  </si>
  <si>
    <t>1,1746944</t>
  </si>
  <si>
    <t>1,2727504</t>
  </si>
  <si>
    <t>1,3275345</t>
  </si>
  <si>
    <t>1,3700486</t>
  </si>
  <si>
    <t>0,9774814</t>
  </si>
  <si>
    <t>1,111541</t>
  </si>
  <si>
    <t>1,2504468</t>
  </si>
  <si>
    <t>1,1930395</t>
  </si>
  <si>
    <t>1,3287651</t>
  </si>
  <si>
    <t>1,1792233</t>
  </si>
  <si>
    <t>1,3026161</t>
  </si>
  <si>
    <t>1,061709</t>
  </si>
  <si>
    <t>1,1731817</t>
  </si>
  <si>
    <t>Média</t>
  </si>
  <si>
    <t>1,3910833</t>
  </si>
  <si>
    <t>0,977976</t>
  </si>
  <si>
    <t>0,9144133</t>
  </si>
  <si>
    <t>0,9847567</t>
  </si>
  <si>
    <t>Desvio</t>
  </si>
  <si>
    <t>Desvio quadrado</t>
  </si>
  <si>
    <t>Variância</t>
  </si>
  <si>
    <t>Média Quadrados</t>
  </si>
  <si>
    <t>Desvio Padrão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</si>
</sst>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5" formatCode="#,##0.000000000"/>
  </numFmts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wrapText="1"/>
    </xf>
    <xf numFmtId="0" fontId="1" fillId="0" borderId="4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4" xfId="0" applyFont="1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75" fontId="1" fillId="0" borderId="4" xfId="0" applyNumberFormat="1" applyFont="1" applyBorder="1" applyAlignment="1">
      <alignment wrapText="1"/>
    </xf>
    <xf numFmtId="49" fontId="1" fillId="0" borderId="7" xfId="0" applyNumberFormat="1" applyFont="1" applyBorder="1" applyAlignment="1">
      <alignment horizontal="center" wrapText="1"/>
    </xf>
    <xf numFmtId="49" fontId="1" fillId="0" borderId="4" xfId="0" applyNumberFormat="1" applyFont="1" applyBorder="1" applyAlignment="1">
      <alignment horizontal="center" wrapText="1"/>
    </xf>
    <xf numFmtId="0" fontId="1" fillId="0" borderId="7" xfId="0" applyNumberFormat="1" applyFont="1" applyBorder="1" applyAlignment="1">
      <alignment horizontal="center" wrapText="1"/>
    </xf>
    <xf numFmtId="0" fontId="1" fillId="0" borderId="10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35340-A797-48D1-85D2-A8E5CAD7AAB1}">
  <dimension ref="A1:U1000"/>
  <sheetViews>
    <sheetView tabSelected="1" topLeftCell="B1" workbookViewId="0">
      <selection activeCell="Q2" sqref="Q2"/>
    </sheetView>
  </sheetViews>
  <sheetFormatPr defaultColWidth="12.7109375" defaultRowHeight="15" x14ac:dyDescent="0.25"/>
  <cols>
    <col min="4" max="5" width="15.7109375" customWidth="1"/>
    <col min="8" max="8" width="47.5703125" customWidth="1"/>
    <col min="11" max="17" width="15.140625" customWidth="1"/>
  </cols>
  <sheetData>
    <row r="1" spans="1:21" ht="39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/>
      <c r="K1" s="3" t="s">
        <v>8</v>
      </c>
      <c r="L1" s="4" t="s">
        <v>1606</v>
      </c>
      <c r="M1" s="4" t="s">
        <v>1611</v>
      </c>
      <c r="N1" s="4" t="s">
        <v>1612</v>
      </c>
      <c r="O1" s="4" t="s">
        <v>1613</v>
      </c>
      <c r="P1" s="4" t="s">
        <v>1614</v>
      </c>
      <c r="Q1" s="4" t="s">
        <v>1615</v>
      </c>
      <c r="R1" s="4"/>
      <c r="S1" s="4"/>
      <c r="T1" s="4"/>
      <c r="U1" s="4"/>
    </row>
    <row r="2" spans="1:21" ht="15.75" thickBot="1" x14ac:dyDescent="0.3">
      <c r="A2" s="8" t="s">
        <v>9</v>
      </c>
      <c r="B2" s="5">
        <v>308</v>
      </c>
      <c r="C2" s="16">
        <v>1.3880144000000001</v>
      </c>
      <c r="D2" s="5" t="s">
        <v>10</v>
      </c>
      <c r="E2" s="5" t="s">
        <v>11</v>
      </c>
      <c r="F2" s="5" t="s">
        <v>12</v>
      </c>
      <c r="G2" s="5">
        <v>103</v>
      </c>
      <c r="H2" s="5" t="s">
        <v>13</v>
      </c>
      <c r="I2" s="10" t="s">
        <v>14</v>
      </c>
      <c r="J2" s="4"/>
      <c r="K2" s="12">
        <f>(C3-C2)*1000</f>
        <v>178.32309999999984</v>
      </c>
      <c r="L2" s="12">
        <f>AVERAGE(K2:K801)</f>
        <v>113.61442650000001</v>
      </c>
      <c r="M2" s="12">
        <f>K2-$L$2</f>
        <v>64.708673499999833</v>
      </c>
      <c r="N2" s="12">
        <f>M2^2</f>
        <v>4187.2124261295803</v>
      </c>
      <c r="O2" s="4">
        <f>SUM(N2:N801)/399000</f>
        <v>2.1652897464858114</v>
      </c>
      <c r="P2" s="12">
        <f>AVERAGE(N2:N801)</f>
        <v>2159.8765221195968</v>
      </c>
      <c r="Q2" s="4">
        <f>P2^(1/2)</f>
        <v>46.474471725019065</v>
      </c>
      <c r="R2" s="4"/>
      <c r="S2" s="4"/>
      <c r="T2" s="4"/>
      <c r="U2" s="4"/>
    </row>
    <row r="3" spans="1:21" ht="15.75" thickBot="1" x14ac:dyDescent="0.3">
      <c r="A3" s="9"/>
      <c r="B3" s="6">
        <v>359</v>
      </c>
      <c r="C3" s="15">
        <v>1.5663374999999999</v>
      </c>
      <c r="D3" s="6" t="s">
        <v>10</v>
      </c>
      <c r="E3" s="6" t="s">
        <v>11</v>
      </c>
      <c r="F3" s="6" t="s">
        <v>15</v>
      </c>
      <c r="G3" s="6">
        <v>132</v>
      </c>
      <c r="H3" s="6" t="s">
        <v>16</v>
      </c>
      <c r="I3" s="11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ht="15.75" thickBot="1" x14ac:dyDescent="0.3">
      <c r="A4" s="8" t="s">
        <v>17</v>
      </c>
      <c r="B4" s="5">
        <v>260</v>
      </c>
      <c r="C4" s="16">
        <v>1.1467594999999999</v>
      </c>
      <c r="D4" s="5" t="s">
        <v>10</v>
      </c>
      <c r="E4" s="5" t="s">
        <v>11</v>
      </c>
      <c r="F4" s="5" t="s">
        <v>12</v>
      </c>
      <c r="G4" s="5">
        <v>103</v>
      </c>
      <c r="H4" s="5" t="s">
        <v>13</v>
      </c>
      <c r="I4" s="10" t="s">
        <v>18</v>
      </c>
      <c r="J4" s="4"/>
      <c r="K4" s="12">
        <f>(C5-C4)*1000</f>
        <v>159.61770000000007</v>
      </c>
      <c r="L4" s="4"/>
      <c r="M4" s="12">
        <f t="shared" ref="M4:M67" si="0">K4-$L$2</f>
        <v>46.003273500000063</v>
      </c>
      <c r="N4" s="12">
        <f t="shared" ref="N4" si="1">M4^2</f>
        <v>2116.3011727158082</v>
      </c>
      <c r="O4" s="4"/>
      <c r="P4" s="4"/>
      <c r="Q4" s="4"/>
      <c r="R4" s="4"/>
      <c r="S4" s="4"/>
      <c r="T4" s="4"/>
      <c r="U4" s="4"/>
    </row>
    <row r="5" spans="1:21" ht="15.75" thickBot="1" x14ac:dyDescent="0.3">
      <c r="A5" s="9"/>
      <c r="B5" s="6">
        <v>305</v>
      </c>
      <c r="C5" s="13" t="s">
        <v>814</v>
      </c>
      <c r="D5" s="6" t="s">
        <v>10</v>
      </c>
      <c r="E5" s="6" t="s">
        <v>11</v>
      </c>
      <c r="F5" s="6" t="s">
        <v>15</v>
      </c>
      <c r="G5" s="6">
        <v>132</v>
      </c>
      <c r="H5" s="6" t="s">
        <v>16</v>
      </c>
      <c r="I5" s="11"/>
      <c r="J5" s="4"/>
      <c r="K5" s="12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 ht="15.75" thickBot="1" x14ac:dyDescent="0.3">
      <c r="A6" s="8" t="s">
        <v>21</v>
      </c>
      <c r="B6" s="5">
        <v>300</v>
      </c>
      <c r="C6" s="14" t="s">
        <v>815</v>
      </c>
      <c r="D6" s="5" t="s">
        <v>10</v>
      </c>
      <c r="E6" s="5" t="s">
        <v>11</v>
      </c>
      <c r="F6" s="5" t="s">
        <v>12</v>
      </c>
      <c r="G6" s="5">
        <v>103</v>
      </c>
      <c r="H6" s="5" t="s">
        <v>13</v>
      </c>
      <c r="I6" s="10" t="s">
        <v>22</v>
      </c>
      <c r="J6" s="4"/>
      <c r="K6" s="12">
        <f t="shared" ref="K6:K69" si="2">(C7-C6)*1000</f>
        <v>43.982399999999977</v>
      </c>
      <c r="L6" s="4"/>
      <c r="M6" s="12">
        <f t="shared" ref="M6:M69" si="3">K6-$L$2</f>
        <v>-69.632026500000023</v>
      </c>
      <c r="N6" s="12">
        <f t="shared" ref="N6" si="4">M6^2</f>
        <v>4848.6191144967052</v>
      </c>
      <c r="O6" s="4"/>
      <c r="P6" s="4"/>
      <c r="Q6" s="4"/>
      <c r="R6" s="4"/>
      <c r="S6" s="4"/>
      <c r="T6" s="4"/>
      <c r="U6" s="4"/>
    </row>
    <row r="7" spans="1:21" ht="15.75" thickBot="1" x14ac:dyDescent="0.3">
      <c r="A7" s="9"/>
      <c r="B7" s="6">
        <v>318</v>
      </c>
      <c r="C7" s="13" t="s">
        <v>816</v>
      </c>
      <c r="D7" s="6" t="s">
        <v>10</v>
      </c>
      <c r="E7" s="6" t="s">
        <v>11</v>
      </c>
      <c r="F7" s="6" t="s">
        <v>15</v>
      </c>
      <c r="G7" s="6">
        <v>132</v>
      </c>
      <c r="H7" s="6" t="s">
        <v>16</v>
      </c>
      <c r="I7" s="11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 ht="15.75" thickBot="1" x14ac:dyDescent="0.3">
      <c r="A8" s="8" t="s">
        <v>23</v>
      </c>
      <c r="B8" s="5">
        <v>259</v>
      </c>
      <c r="C8" s="14" t="s">
        <v>817</v>
      </c>
      <c r="D8" s="5" t="s">
        <v>10</v>
      </c>
      <c r="E8" s="5" t="s">
        <v>11</v>
      </c>
      <c r="F8" s="5" t="s">
        <v>12</v>
      </c>
      <c r="G8" s="5">
        <v>103</v>
      </c>
      <c r="H8" s="5" t="s">
        <v>13</v>
      </c>
      <c r="I8" s="10" t="s">
        <v>24</v>
      </c>
      <c r="J8" s="4"/>
      <c r="K8" s="12">
        <f t="shared" ref="K8:K71" si="5">(C9-C8)*1000</f>
        <v>174.6072999999999</v>
      </c>
      <c r="L8" s="4"/>
      <c r="M8" s="12">
        <f t="shared" ref="M8:M71" si="6">K8-$L$2</f>
        <v>60.992873499999888</v>
      </c>
      <c r="N8" s="12">
        <f t="shared" ref="N8" si="7">M8^2</f>
        <v>3720.1306177869888</v>
      </c>
      <c r="O8" s="4"/>
      <c r="P8" s="4"/>
      <c r="Q8" s="4"/>
      <c r="R8" s="4"/>
      <c r="S8" s="4"/>
      <c r="T8" s="4"/>
      <c r="U8" s="4"/>
    </row>
    <row r="9" spans="1:21" ht="15.75" thickBot="1" x14ac:dyDescent="0.3">
      <c r="A9" s="9"/>
      <c r="B9" s="6">
        <v>307</v>
      </c>
      <c r="C9" s="13" t="s">
        <v>818</v>
      </c>
      <c r="D9" s="6" t="s">
        <v>10</v>
      </c>
      <c r="E9" s="6" t="s">
        <v>11</v>
      </c>
      <c r="F9" s="6" t="s">
        <v>15</v>
      </c>
      <c r="G9" s="6">
        <v>132</v>
      </c>
      <c r="H9" s="6" t="s">
        <v>16</v>
      </c>
      <c r="I9" s="11"/>
      <c r="J9" s="4"/>
      <c r="K9" s="12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 ht="15.75" thickBot="1" x14ac:dyDescent="0.3">
      <c r="A10" s="8" t="s">
        <v>25</v>
      </c>
      <c r="B10" s="5">
        <v>279</v>
      </c>
      <c r="C10" s="14" t="s">
        <v>819</v>
      </c>
      <c r="D10" s="5" t="s">
        <v>10</v>
      </c>
      <c r="E10" s="5" t="s">
        <v>11</v>
      </c>
      <c r="F10" s="5" t="s">
        <v>12</v>
      </c>
      <c r="G10" s="5">
        <v>103</v>
      </c>
      <c r="H10" s="5" t="s">
        <v>13</v>
      </c>
      <c r="I10" s="10" t="s">
        <v>26</v>
      </c>
      <c r="J10" s="4"/>
      <c r="K10" s="12">
        <f t="shared" ref="K10:K73" si="8">(C11-C10)*1000</f>
        <v>122.75700000000001</v>
      </c>
      <c r="L10" s="4"/>
      <c r="M10" s="12">
        <f t="shared" ref="M10:M73" si="9">K10-$L$2</f>
        <v>9.1425734999999975</v>
      </c>
      <c r="N10" s="12">
        <f t="shared" ref="N10" si="10">M10^2</f>
        <v>83.586650202902206</v>
      </c>
      <c r="O10" s="4"/>
      <c r="P10" s="4"/>
      <c r="Q10" s="4"/>
      <c r="R10" s="4"/>
      <c r="S10" s="4"/>
      <c r="T10" s="4"/>
      <c r="U10" s="4"/>
    </row>
    <row r="11" spans="1:21" ht="15.75" thickBot="1" x14ac:dyDescent="0.3">
      <c r="A11" s="9"/>
      <c r="B11" s="6">
        <v>316</v>
      </c>
      <c r="C11" s="13" t="s">
        <v>820</v>
      </c>
      <c r="D11" s="6" t="s">
        <v>10</v>
      </c>
      <c r="E11" s="6" t="s">
        <v>11</v>
      </c>
      <c r="F11" s="6" t="s">
        <v>15</v>
      </c>
      <c r="G11" s="6">
        <v>132</v>
      </c>
      <c r="H11" s="6" t="s">
        <v>16</v>
      </c>
      <c r="I11" s="11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spans="1:21" ht="15.75" thickBot="1" x14ac:dyDescent="0.3">
      <c r="A12" s="8" t="s">
        <v>27</v>
      </c>
      <c r="B12" s="5">
        <v>304</v>
      </c>
      <c r="C12" s="14" t="s">
        <v>821</v>
      </c>
      <c r="D12" s="5" t="s">
        <v>10</v>
      </c>
      <c r="E12" s="5" t="s">
        <v>11</v>
      </c>
      <c r="F12" s="5" t="s">
        <v>12</v>
      </c>
      <c r="G12" s="5">
        <v>103</v>
      </c>
      <c r="H12" s="5" t="s">
        <v>13</v>
      </c>
      <c r="I12" s="10" t="s">
        <v>28</v>
      </c>
      <c r="J12" s="4"/>
      <c r="K12" s="12">
        <f t="shared" ref="K12:K75" si="11">(C13-C12)*1000</f>
        <v>121.89250000000018</v>
      </c>
      <c r="L12" s="4"/>
      <c r="M12" s="12">
        <f t="shared" ref="M12:M75" si="12">K12-$L$2</f>
        <v>8.2780735000001755</v>
      </c>
      <c r="N12" s="12">
        <f t="shared" ref="N12" si="13">M12^2</f>
        <v>68.526500871405162</v>
      </c>
      <c r="O12" s="4"/>
      <c r="P12" s="4"/>
      <c r="Q12" s="4"/>
      <c r="R12" s="4"/>
      <c r="S12" s="4"/>
      <c r="T12" s="4"/>
      <c r="U12" s="4"/>
    </row>
    <row r="13" spans="1:21" ht="15.75" thickBot="1" x14ac:dyDescent="0.3">
      <c r="A13" s="9"/>
      <c r="B13" s="6">
        <v>338</v>
      </c>
      <c r="C13" s="13" t="s">
        <v>822</v>
      </c>
      <c r="D13" s="6" t="s">
        <v>10</v>
      </c>
      <c r="E13" s="6" t="s">
        <v>11</v>
      </c>
      <c r="F13" s="6" t="s">
        <v>15</v>
      </c>
      <c r="G13" s="6">
        <v>132</v>
      </c>
      <c r="H13" s="6" t="s">
        <v>16</v>
      </c>
      <c r="I13" s="11"/>
      <c r="J13" s="4"/>
      <c r="K13" s="12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1:21" ht="15.75" thickBot="1" x14ac:dyDescent="0.3">
      <c r="A14" s="8" t="s">
        <v>29</v>
      </c>
      <c r="B14" s="5">
        <v>308</v>
      </c>
      <c r="C14" s="14" t="s">
        <v>823</v>
      </c>
      <c r="D14" s="5" t="s">
        <v>10</v>
      </c>
      <c r="E14" s="5" t="s">
        <v>11</v>
      </c>
      <c r="F14" s="5" t="s">
        <v>12</v>
      </c>
      <c r="G14" s="5">
        <v>103</v>
      </c>
      <c r="H14" s="5" t="s">
        <v>13</v>
      </c>
      <c r="I14" s="10" t="s">
        <v>30</v>
      </c>
      <c r="J14" s="4"/>
      <c r="K14" s="12">
        <f t="shared" ref="K14:K77" si="14">(C15-C14)*1000</f>
        <v>73.037299999999973</v>
      </c>
      <c r="L14" s="4"/>
      <c r="M14" s="12">
        <f t="shared" ref="M14:M77" si="15">K14-$L$2</f>
        <v>-40.577126500000034</v>
      </c>
      <c r="N14" s="12">
        <f t="shared" ref="N14" si="16">M14^2</f>
        <v>1646.503194997005</v>
      </c>
      <c r="O14" s="4"/>
      <c r="P14" s="4"/>
      <c r="Q14" s="4"/>
      <c r="R14" s="4"/>
      <c r="S14" s="4"/>
      <c r="T14" s="4"/>
      <c r="U14" s="4"/>
    </row>
    <row r="15" spans="1:21" ht="15.75" thickBot="1" x14ac:dyDescent="0.3">
      <c r="A15" s="9"/>
      <c r="B15" s="6">
        <v>330</v>
      </c>
      <c r="C15" s="13" t="s">
        <v>824</v>
      </c>
      <c r="D15" s="6" t="s">
        <v>10</v>
      </c>
      <c r="E15" s="6" t="s">
        <v>11</v>
      </c>
      <c r="F15" s="6" t="s">
        <v>15</v>
      </c>
      <c r="G15" s="6">
        <v>132</v>
      </c>
      <c r="H15" s="6" t="s">
        <v>16</v>
      </c>
      <c r="I15" s="11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1:21" ht="15.75" thickBot="1" x14ac:dyDescent="0.3">
      <c r="A16" s="8" t="s">
        <v>31</v>
      </c>
      <c r="B16" s="5">
        <v>520</v>
      </c>
      <c r="C16" s="14" t="s">
        <v>825</v>
      </c>
      <c r="D16" s="5" t="s">
        <v>10</v>
      </c>
      <c r="E16" s="5" t="s">
        <v>11</v>
      </c>
      <c r="F16" s="5" t="s">
        <v>12</v>
      </c>
      <c r="G16" s="5">
        <v>103</v>
      </c>
      <c r="H16" s="5" t="s">
        <v>13</v>
      </c>
      <c r="I16" s="10" t="s">
        <v>32</v>
      </c>
      <c r="J16" s="4"/>
      <c r="K16" s="12">
        <f t="shared" ref="K16:K79" si="17">(C17-C16)*1000</f>
        <v>67.144199999999984</v>
      </c>
      <c r="L16" s="4"/>
      <c r="M16" s="12">
        <f t="shared" ref="M16:M79" si="18">K16-$L$2</f>
        <v>-46.470226500000024</v>
      </c>
      <c r="N16" s="12">
        <f t="shared" ref="N16" si="19">M16^2</f>
        <v>2159.4819509613044</v>
      </c>
      <c r="O16" s="4"/>
      <c r="P16" s="4"/>
      <c r="Q16" s="4"/>
      <c r="R16" s="4"/>
      <c r="S16" s="4"/>
      <c r="T16" s="4"/>
      <c r="U16" s="4"/>
    </row>
    <row r="17" spans="1:21" ht="15.75" thickBot="1" x14ac:dyDescent="0.3">
      <c r="A17" s="9"/>
      <c r="B17" s="6">
        <v>540</v>
      </c>
      <c r="C17" s="13" t="s">
        <v>826</v>
      </c>
      <c r="D17" s="6" t="s">
        <v>10</v>
      </c>
      <c r="E17" s="6" t="s">
        <v>11</v>
      </c>
      <c r="F17" s="6" t="s">
        <v>15</v>
      </c>
      <c r="G17" s="6">
        <v>132</v>
      </c>
      <c r="H17" s="6" t="s">
        <v>16</v>
      </c>
      <c r="I17" s="11"/>
      <c r="J17" s="4"/>
      <c r="K17" s="12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spans="1:21" ht="15.75" thickBot="1" x14ac:dyDescent="0.3">
      <c r="A18" s="8" t="s">
        <v>33</v>
      </c>
      <c r="B18" s="5">
        <v>211</v>
      </c>
      <c r="C18" s="14" t="s">
        <v>827</v>
      </c>
      <c r="D18" s="5" t="s">
        <v>10</v>
      </c>
      <c r="E18" s="5" t="s">
        <v>11</v>
      </c>
      <c r="F18" s="5" t="s">
        <v>12</v>
      </c>
      <c r="G18" s="5">
        <v>103</v>
      </c>
      <c r="H18" s="5" t="s">
        <v>13</v>
      </c>
      <c r="I18" s="10" t="s">
        <v>34</v>
      </c>
      <c r="J18" s="4"/>
      <c r="K18" s="12">
        <f t="shared" ref="K18:K81" si="20">(C19-C18)*1000</f>
        <v>78.461200000000005</v>
      </c>
      <c r="L18" s="4"/>
      <c r="M18" s="12">
        <f t="shared" ref="M18:M81" si="21">K18-$L$2</f>
        <v>-35.153226500000002</v>
      </c>
      <c r="N18" s="12">
        <f t="shared" ref="N18" si="22">M18^2</f>
        <v>1235.7493333603024</v>
      </c>
      <c r="O18" s="4"/>
      <c r="P18" s="4"/>
      <c r="Q18" s="4"/>
      <c r="R18" s="4"/>
      <c r="S18" s="4"/>
      <c r="T18" s="4"/>
      <c r="U18" s="4"/>
    </row>
    <row r="19" spans="1:21" ht="15.75" thickBot="1" x14ac:dyDescent="0.3">
      <c r="A19" s="9"/>
      <c r="B19" s="6">
        <v>234</v>
      </c>
      <c r="C19" s="13" t="s">
        <v>828</v>
      </c>
      <c r="D19" s="6" t="s">
        <v>10</v>
      </c>
      <c r="E19" s="6" t="s">
        <v>11</v>
      </c>
      <c r="F19" s="6" t="s">
        <v>15</v>
      </c>
      <c r="G19" s="6">
        <v>132</v>
      </c>
      <c r="H19" s="6" t="s">
        <v>16</v>
      </c>
      <c r="I19" s="11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1:21" ht="15.75" thickBot="1" x14ac:dyDescent="0.3">
      <c r="A20" s="8" t="s">
        <v>35</v>
      </c>
      <c r="B20" s="5">
        <v>245</v>
      </c>
      <c r="C20" s="14" t="s">
        <v>829</v>
      </c>
      <c r="D20" s="5" t="s">
        <v>10</v>
      </c>
      <c r="E20" s="5" t="s">
        <v>11</v>
      </c>
      <c r="F20" s="5" t="s">
        <v>12</v>
      </c>
      <c r="G20" s="5">
        <v>103</v>
      </c>
      <c r="H20" s="5" t="s">
        <v>13</v>
      </c>
      <c r="I20" s="10" t="s">
        <v>36</v>
      </c>
      <c r="J20" s="4"/>
      <c r="K20" s="12">
        <f t="shared" ref="K20:K83" si="23">(C21-C20)*1000</f>
        <v>64.880399999999838</v>
      </c>
      <c r="L20" s="4"/>
      <c r="M20" s="12">
        <f t="shared" ref="M20:M83" si="24">K20-$L$2</f>
        <v>-48.734026500000169</v>
      </c>
      <c r="N20" s="12">
        <f t="shared" ref="N20" si="25">M20^2</f>
        <v>2375.0053389027189</v>
      </c>
      <c r="O20" s="4"/>
      <c r="P20" s="4"/>
      <c r="Q20" s="4"/>
      <c r="R20" s="4"/>
      <c r="S20" s="4"/>
      <c r="T20" s="4"/>
      <c r="U20" s="4"/>
    </row>
    <row r="21" spans="1:21" ht="15.75" thickBot="1" x14ac:dyDescent="0.3">
      <c r="A21" s="9"/>
      <c r="B21" s="6">
        <v>265</v>
      </c>
      <c r="C21" s="13" t="s">
        <v>830</v>
      </c>
      <c r="D21" s="6" t="s">
        <v>10</v>
      </c>
      <c r="E21" s="6" t="s">
        <v>11</v>
      </c>
      <c r="F21" s="6" t="s">
        <v>15</v>
      </c>
      <c r="G21" s="6">
        <v>132</v>
      </c>
      <c r="H21" s="6" t="s">
        <v>16</v>
      </c>
      <c r="I21" s="11"/>
      <c r="J21" s="4"/>
      <c r="K21" s="12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1" ht="15.75" thickBot="1" x14ac:dyDescent="0.3">
      <c r="A22" s="8" t="s">
        <v>37</v>
      </c>
      <c r="B22" s="5">
        <v>359</v>
      </c>
      <c r="C22" s="14" t="s">
        <v>831</v>
      </c>
      <c r="D22" s="5" t="s">
        <v>10</v>
      </c>
      <c r="E22" s="5" t="s">
        <v>11</v>
      </c>
      <c r="F22" s="5" t="s">
        <v>12</v>
      </c>
      <c r="G22" s="5">
        <v>103</v>
      </c>
      <c r="H22" s="5" t="s">
        <v>13</v>
      </c>
      <c r="I22" s="10" t="s">
        <v>38</v>
      </c>
      <c r="J22" s="4"/>
      <c r="K22" s="12">
        <f t="shared" ref="K22:K85" si="26">(C23-C22)*1000</f>
        <v>47.202700000000149</v>
      </c>
      <c r="L22" s="4"/>
      <c r="M22" s="12">
        <f t="shared" ref="M22:M85" si="27">K22-$L$2</f>
        <v>-66.411726499999858</v>
      </c>
      <c r="N22" s="12">
        <f t="shared" ref="N22" si="28">M22^2</f>
        <v>4410.5174167107834</v>
      </c>
      <c r="O22" s="4"/>
      <c r="P22" s="4"/>
      <c r="Q22" s="4"/>
      <c r="R22" s="4"/>
      <c r="S22" s="4"/>
      <c r="T22" s="4"/>
      <c r="U22" s="4"/>
    </row>
    <row r="23" spans="1:21" ht="15.75" thickBot="1" x14ac:dyDescent="0.3">
      <c r="A23" s="9"/>
      <c r="B23" s="6">
        <v>379</v>
      </c>
      <c r="C23" s="13" t="s">
        <v>832</v>
      </c>
      <c r="D23" s="6" t="s">
        <v>10</v>
      </c>
      <c r="E23" s="6" t="s">
        <v>11</v>
      </c>
      <c r="F23" s="6" t="s">
        <v>15</v>
      </c>
      <c r="G23" s="6">
        <v>132</v>
      </c>
      <c r="H23" s="6" t="s">
        <v>16</v>
      </c>
      <c r="I23" s="11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spans="1:21" ht="15.75" thickBot="1" x14ac:dyDescent="0.3">
      <c r="A24" s="8" t="s">
        <v>39</v>
      </c>
      <c r="B24" s="5">
        <v>270</v>
      </c>
      <c r="C24" s="14" t="s">
        <v>833</v>
      </c>
      <c r="D24" s="5" t="s">
        <v>10</v>
      </c>
      <c r="E24" s="5" t="s">
        <v>11</v>
      </c>
      <c r="F24" s="5" t="s">
        <v>12</v>
      </c>
      <c r="G24" s="5">
        <v>103</v>
      </c>
      <c r="H24" s="5" t="s">
        <v>13</v>
      </c>
      <c r="I24" s="10" t="s">
        <v>40</v>
      </c>
      <c r="J24" s="4"/>
      <c r="K24" s="12">
        <f t="shared" ref="K24:K87" si="29">(C25-C24)*1000</f>
        <v>147.52009999999993</v>
      </c>
      <c r="L24" s="4"/>
      <c r="M24" s="12">
        <f t="shared" ref="M24:M87" si="30">K24-$L$2</f>
        <v>33.905673499999921</v>
      </c>
      <c r="N24" s="12">
        <f t="shared" ref="N24" si="31">M24^2</f>
        <v>1149.5946954885969</v>
      </c>
      <c r="O24" s="4"/>
      <c r="P24" s="4"/>
      <c r="Q24" s="4"/>
      <c r="R24" s="4"/>
      <c r="S24" s="4"/>
      <c r="T24" s="4"/>
      <c r="U24" s="4"/>
    </row>
    <row r="25" spans="1:21" ht="15.75" thickBot="1" x14ac:dyDescent="0.3">
      <c r="A25" s="9"/>
      <c r="B25" s="6">
        <v>311</v>
      </c>
      <c r="C25" s="13" t="s">
        <v>834</v>
      </c>
      <c r="D25" s="6" t="s">
        <v>10</v>
      </c>
      <c r="E25" s="6" t="s">
        <v>11</v>
      </c>
      <c r="F25" s="6" t="s">
        <v>15</v>
      </c>
      <c r="G25" s="6">
        <v>132</v>
      </c>
      <c r="H25" s="6" t="s">
        <v>16</v>
      </c>
      <c r="I25" s="11"/>
      <c r="J25" s="4"/>
      <c r="K25" s="12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1:21" ht="15.75" thickBot="1" x14ac:dyDescent="0.3">
      <c r="A26" s="8" t="s">
        <v>41</v>
      </c>
      <c r="B26" s="5">
        <v>393</v>
      </c>
      <c r="C26" s="14" t="s">
        <v>835</v>
      </c>
      <c r="D26" s="5" t="s">
        <v>10</v>
      </c>
      <c r="E26" s="5" t="s">
        <v>11</v>
      </c>
      <c r="F26" s="5" t="s">
        <v>12</v>
      </c>
      <c r="G26" s="5">
        <v>103</v>
      </c>
      <c r="H26" s="5" t="s">
        <v>13</v>
      </c>
      <c r="I26" s="10" t="s">
        <v>42</v>
      </c>
      <c r="J26" s="4"/>
      <c r="K26" s="12">
        <f t="shared" ref="K26:K89" si="32">(C27-C26)*1000</f>
        <v>67.953399999999945</v>
      </c>
      <c r="L26" s="4"/>
      <c r="M26" s="12">
        <f t="shared" ref="M26:M89" si="33">K26-$L$2</f>
        <v>-45.661026500000062</v>
      </c>
      <c r="N26" s="12">
        <f t="shared" ref="N26" si="34">M26^2</f>
        <v>2084.9293410337082</v>
      </c>
      <c r="O26" s="4"/>
      <c r="P26" s="4"/>
      <c r="Q26" s="4"/>
      <c r="R26" s="4"/>
      <c r="S26" s="4"/>
      <c r="T26" s="4"/>
      <c r="U26" s="4"/>
    </row>
    <row r="27" spans="1:21" ht="15.75" thickBot="1" x14ac:dyDescent="0.3">
      <c r="A27" s="9"/>
      <c r="B27" s="6">
        <v>412</v>
      </c>
      <c r="C27" s="13" t="s">
        <v>836</v>
      </c>
      <c r="D27" s="6" t="s">
        <v>10</v>
      </c>
      <c r="E27" s="6" t="s">
        <v>11</v>
      </c>
      <c r="F27" s="6" t="s">
        <v>15</v>
      </c>
      <c r="G27" s="6">
        <v>132</v>
      </c>
      <c r="H27" s="6" t="s">
        <v>16</v>
      </c>
      <c r="I27" s="11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spans="1:21" ht="15.75" thickBot="1" x14ac:dyDescent="0.3">
      <c r="A28" s="8" t="s">
        <v>43</v>
      </c>
      <c r="B28" s="5">
        <v>356</v>
      </c>
      <c r="C28" s="14" t="s">
        <v>837</v>
      </c>
      <c r="D28" s="5" t="s">
        <v>10</v>
      </c>
      <c r="E28" s="5" t="s">
        <v>11</v>
      </c>
      <c r="F28" s="5" t="s">
        <v>12</v>
      </c>
      <c r="G28" s="5">
        <v>103</v>
      </c>
      <c r="H28" s="5" t="s">
        <v>13</v>
      </c>
      <c r="I28" s="10" t="s">
        <v>44</v>
      </c>
      <c r="J28" s="4"/>
      <c r="K28" s="12">
        <f t="shared" ref="K28:K91" si="35">(C29-C28)*1000</f>
        <v>169.84669999999991</v>
      </c>
      <c r="L28" s="4"/>
      <c r="M28" s="12">
        <f t="shared" ref="M28:M91" si="36">K28-$L$2</f>
        <v>56.232273499999906</v>
      </c>
      <c r="N28" s="12">
        <f t="shared" ref="N28" si="37">M28^2</f>
        <v>3162.0685829787917</v>
      </c>
      <c r="O28" s="4"/>
      <c r="P28" s="4"/>
      <c r="Q28" s="4"/>
      <c r="R28" s="4"/>
      <c r="S28" s="4"/>
      <c r="T28" s="4"/>
      <c r="U28" s="4"/>
    </row>
    <row r="29" spans="1:21" ht="15.75" thickBot="1" x14ac:dyDescent="0.3">
      <c r="A29" s="9"/>
      <c r="B29" s="6">
        <v>404</v>
      </c>
      <c r="C29" s="13" t="s">
        <v>838</v>
      </c>
      <c r="D29" s="6" t="s">
        <v>10</v>
      </c>
      <c r="E29" s="6" t="s">
        <v>11</v>
      </c>
      <c r="F29" s="6" t="s">
        <v>15</v>
      </c>
      <c r="G29" s="6">
        <v>132</v>
      </c>
      <c r="H29" s="6" t="s">
        <v>16</v>
      </c>
      <c r="I29" s="11"/>
      <c r="J29" s="4"/>
      <c r="K29" s="12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spans="1:21" ht="15.75" thickBot="1" x14ac:dyDescent="0.3">
      <c r="A30" s="8" t="s">
        <v>45</v>
      </c>
      <c r="B30" s="5">
        <v>296</v>
      </c>
      <c r="C30" s="14" t="s">
        <v>839</v>
      </c>
      <c r="D30" s="5" t="s">
        <v>10</v>
      </c>
      <c r="E30" s="5" t="s">
        <v>11</v>
      </c>
      <c r="F30" s="5" t="s">
        <v>12</v>
      </c>
      <c r="G30" s="5">
        <v>103</v>
      </c>
      <c r="H30" s="5" t="s">
        <v>13</v>
      </c>
      <c r="I30" s="10" t="s">
        <v>46</v>
      </c>
      <c r="J30" s="4"/>
      <c r="K30" s="12">
        <f t="shared" ref="K30:K93" si="38">(C31-C30)*1000</f>
        <v>133.97799999999992</v>
      </c>
      <c r="L30" s="4"/>
      <c r="M30" s="12">
        <f t="shared" ref="M30:M93" si="39">K30-$L$2</f>
        <v>20.363573499999916</v>
      </c>
      <c r="N30" s="12">
        <f t="shared" ref="N30" si="40">M30^2</f>
        <v>414.67512568989883</v>
      </c>
      <c r="O30" s="4"/>
      <c r="P30" s="4"/>
      <c r="Q30" s="4"/>
      <c r="R30" s="4"/>
      <c r="S30" s="4"/>
      <c r="T30" s="4"/>
      <c r="U30" s="4"/>
    </row>
    <row r="31" spans="1:21" ht="15.75" thickBot="1" x14ac:dyDescent="0.3">
      <c r="A31" s="9"/>
      <c r="B31" s="6">
        <v>335</v>
      </c>
      <c r="C31" s="13" t="s">
        <v>840</v>
      </c>
      <c r="D31" s="6" t="s">
        <v>10</v>
      </c>
      <c r="E31" s="6" t="s">
        <v>11</v>
      </c>
      <c r="F31" s="6" t="s">
        <v>15</v>
      </c>
      <c r="G31" s="6">
        <v>132</v>
      </c>
      <c r="H31" s="6" t="s">
        <v>16</v>
      </c>
      <c r="I31" s="11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spans="1:21" ht="15.75" thickBot="1" x14ac:dyDescent="0.3">
      <c r="A32" s="8" t="s">
        <v>47</v>
      </c>
      <c r="B32" s="5">
        <v>303</v>
      </c>
      <c r="C32" s="14" t="s">
        <v>841</v>
      </c>
      <c r="D32" s="5" t="s">
        <v>10</v>
      </c>
      <c r="E32" s="5" t="s">
        <v>11</v>
      </c>
      <c r="F32" s="5" t="s">
        <v>12</v>
      </c>
      <c r="G32" s="5">
        <v>103</v>
      </c>
      <c r="H32" s="5" t="s">
        <v>13</v>
      </c>
      <c r="I32" s="10" t="s">
        <v>48</v>
      </c>
      <c r="J32" s="4"/>
      <c r="K32" s="12">
        <f t="shared" ref="K32:K95" si="41">(C33-C32)*1000</f>
        <v>89.87980000000006</v>
      </c>
      <c r="L32" s="4"/>
      <c r="M32" s="12">
        <f t="shared" ref="M32:M95" si="42">K32-$L$2</f>
        <v>-23.734626499999948</v>
      </c>
      <c r="N32" s="12">
        <f t="shared" ref="N32" si="43">M32^2</f>
        <v>563.33249509449979</v>
      </c>
      <c r="O32" s="4"/>
      <c r="P32" s="4"/>
      <c r="Q32" s="4"/>
      <c r="R32" s="4"/>
      <c r="S32" s="4"/>
      <c r="T32" s="4"/>
      <c r="U32" s="4"/>
    </row>
    <row r="33" spans="1:21" ht="15.75" thickBot="1" x14ac:dyDescent="0.3">
      <c r="A33" s="9"/>
      <c r="B33" s="6">
        <v>331</v>
      </c>
      <c r="C33" s="13" t="s">
        <v>1607</v>
      </c>
      <c r="D33" s="6" t="s">
        <v>10</v>
      </c>
      <c r="E33" s="6" t="s">
        <v>11</v>
      </c>
      <c r="F33" s="6" t="s">
        <v>15</v>
      </c>
      <c r="G33" s="6">
        <v>132</v>
      </c>
      <c r="H33" s="6" t="s">
        <v>16</v>
      </c>
      <c r="I33" s="11"/>
      <c r="J33" s="4"/>
      <c r="K33" s="12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spans="1:21" ht="15.75" thickBot="1" x14ac:dyDescent="0.3">
      <c r="A34" s="8" t="s">
        <v>49</v>
      </c>
      <c r="B34" s="5">
        <v>291</v>
      </c>
      <c r="C34" s="14" t="s">
        <v>842</v>
      </c>
      <c r="D34" s="5" t="s">
        <v>10</v>
      </c>
      <c r="E34" s="5" t="s">
        <v>11</v>
      </c>
      <c r="F34" s="5" t="s">
        <v>12</v>
      </c>
      <c r="G34" s="5">
        <v>103</v>
      </c>
      <c r="H34" s="5" t="s">
        <v>13</v>
      </c>
      <c r="I34" s="10" t="s">
        <v>50</v>
      </c>
      <c r="J34" s="4"/>
      <c r="K34" s="12">
        <f t="shared" ref="K34:K97" si="44">(C35-C34)*1000</f>
        <v>129.3736000000001</v>
      </c>
      <c r="L34" s="4"/>
      <c r="M34" s="12">
        <f t="shared" ref="M34:M97" si="45">K34-$L$2</f>
        <v>15.759173500000088</v>
      </c>
      <c r="N34" s="12">
        <f t="shared" ref="N34" si="46">M34^2</f>
        <v>248.35154940310503</v>
      </c>
      <c r="O34" s="4"/>
      <c r="P34" s="4"/>
      <c r="Q34" s="4"/>
      <c r="R34" s="4"/>
      <c r="S34" s="4"/>
      <c r="T34" s="4"/>
      <c r="U34" s="4"/>
    </row>
    <row r="35" spans="1:21" ht="15.75" thickBot="1" x14ac:dyDescent="0.3">
      <c r="A35" s="9"/>
      <c r="B35" s="6">
        <v>326</v>
      </c>
      <c r="C35" s="13" t="s">
        <v>843</v>
      </c>
      <c r="D35" s="6" t="s">
        <v>10</v>
      </c>
      <c r="E35" s="6" t="s">
        <v>11</v>
      </c>
      <c r="F35" s="6" t="s">
        <v>15</v>
      </c>
      <c r="G35" s="6">
        <v>132</v>
      </c>
      <c r="H35" s="6" t="s">
        <v>16</v>
      </c>
      <c r="I35" s="11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 spans="1:21" ht="15.75" thickBot="1" x14ac:dyDescent="0.3">
      <c r="A36" s="8" t="s">
        <v>51</v>
      </c>
      <c r="B36" s="5">
        <v>261</v>
      </c>
      <c r="C36" s="14" t="s">
        <v>844</v>
      </c>
      <c r="D36" s="5" t="s">
        <v>10</v>
      </c>
      <c r="E36" s="5" t="s">
        <v>11</v>
      </c>
      <c r="F36" s="5" t="s">
        <v>12</v>
      </c>
      <c r="G36" s="5">
        <v>103</v>
      </c>
      <c r="H36" s="5" t="s">
        <v>13</v>
      </c>
      <c r="I36" s="10" t="s">
        <v>52</v>
      </c>
      <c r="J36" s="4"/>
      <c r="K36" s="12">
        <f t="shared" ref="K36:K99" si="47">(C37-C36)*1000</f>
        <v>127.02979999999985</v>
      </c>
      <c r="L36" s="4"/>
      <c r="M36" s="12">
        <f t="shared" ref="M36:M99" si="48">K36-$L$2</f>
        <v>13.415373499999845</v>
      </c>
      <c r="N36" s="12">
        <f t="shared" ref="N36" si="49">M36^2</f>
        <v>179.97224614449809</v>
      </c>
      <c r="O36" s="4"/>
      <c r="P36" s="4"/>
      <c r="Q36" s="4"/>
      <c r="R36" s="4"/>
      <c r="S36" s="4"/>
      <c r="T36" s="4"/>
      <c r="U36" s="4"/>
    </row>
    <row r="37" spans="1:21" ht="15.75" thickBot="1" x14ac:dyDescent="0.3">
      <c r="A37" s="9"/>
      <c r="B37" s="6">
        <v>296</v>
      </c>
      <c r="C37" s="13" t="s">
        <v>845</v>
      </c>
      <c r="D37" s="6" t="s">
        <v>10</v>
      </c>
      <c r="E37" s="6" t="s">
        <v>11</v>
      </c>
      <c r="F37" s="6" t="s">
        <v>15</v>
      </c>
      <c r="G37" s="6">
        <v>132</v>
      </c>
      <c r="H37" s="6" t="s">
        <v>16</v>
      </c>
      <c r="I37" s="11"/>
      <c r="J37" s="4"/>
      <c r="K37" s="12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spans="1:21" ht="15.75" thickBot="1" x14ac:dyDescent="0.3">
      <c r="A38" s="8" t="s">
        <v>53</v>
      </c>
      <c r="B38" s="5">
        <v>272</v>
      </c>
      <c r="C38" s="14" t="s">
        <v>846</v>
      </c>
      <c r="D38" s="5" t="s">
        <v>10</v>
      </c>
      <c r="E38" s="5" t="s">
        <v>11</v>
      </c>
      <c r="F38" s="5" t="s">
        <v>12</v>
      </c>
      <c r="G38" s="5">
        <v>103</v>
      </c>
      <c r="H38" s="5" t="s">
        <v>13</v>
      </c>
      <c r="I38" s="10" t="s">
        <v>54</v>
      </c>
      <c r="J38" s="4"/>
      <c r="K38" s="12">
        <f t="shared" ref="K38:K101" si="50">(C39-C38)*1000</f>
        <v>178.74650000000014</v>
      </c>
      <c r="L38" s="4"/>
      <c r="M38" s="12">
        <f t="shared" ref="M38:M101" si="51">K38-$L$2</f>
        <v>65.132073500000132</v>
      </c>
      <c r="N38" s="12">
        <f t="shared" ref="N38" si="52">M38^2</f>
        <v>4242.1869984094192</v>
      </c>
      <c r="O38" s="4"/>
      <c r="P38" s="4"/>
      <c r="Q38" s="4"/>
      <c r="R38" s="4"/>
      <c r="S38" s="4"/>
      <c r="T38" s="4"/>
      <c r="U38" s="4"/>
    </row>
    <row r="39" spans="1:21" ht="15.75" thickBot="1" x14ac:dyDescent="0.3">
      <c r="A39" s="9"/>
      <c r="B39" s="6">
        <v>328</v>
      </c>
      <c r="C39" s="13" t="s">
        <v>847</v>
      </c>
      <c r="D39" s="6" t="s">
        <v>10</v>
      </c>
      <c r="E39" s="6" t="s">
        <v>11</v>
      </c>
      <c r="F39" s="6" t="s">
        <v>15</v>
      </c>
      <c r="G39" s="6">
        <v>132</v>
      </c>
      <c r="H39" s="6" t="s">
        <v>16</v>
      </c>
      <c r="I39" s="11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spans="1:21" ht="15.75" thickBot="1" x14ac:dyDescent="0.3">
      <c r="A40" s="8" t="s">
        <v>55</v>
      </c>
      <c r="B40" s="5">
        <v>226</v>
      </c>
      <c r="C40" s="14" t="s">
        <v>848</v>
      </c>
      <c r="D40" s="5" t="s">
        <v>10</v>
      </c>
      <c r="E40" s="5" t="s">
        <v>11</v>
      </c>
      <c r="F40" s="5" t="s">
        <v>12</v>
      </c>
      <c r="G40" s="5">
        <v>103</v>
      </c>
      <c r="H40" s="5" t="s">
        <v>13</v>
      </c>
      <c r="I40" s="10" t="s">
        <v>56</v>
      </c>
      <c r="J40" s="4"/>
      <c r="K40" s="12">
        <f t="shared" ref="K40:K103" si="53">(C41-C40)*1000</f>
        <v>59.034099999999981</v>
      </c>
      <c r="L40" s="4"/>
      <c r="M40" s="12">
        <f t="shared" ref="M40:M103" si="54">K40-$L$2</f>
        <v>-54.580326500000027</v>
      </c>
      <c r="N40" s="12">
        <f t="shared" ref="N40" si="55">M40^2</f>
        <v>2979.012040846605</v>
      </c>
      <c r="O40" s="4"/>
      <c r="P40" s="4"/>
      <c r="Q40" s="4"/>
      <c r="R40" s="4"/>
      <c r="S40" s="4"/>
      <c r="T40" s="4"/>
      <c r="U40" s="4"/>
    </row>
    <row r="41" spans="1:21" ht="15.75" thickBot="1" x14ac:dyDescent="0.3">
      <c r="A41" s="9"/>
      <c r="B41" s="6">
        <v>245</v>
      </c>
      <c r="C41" s="13" t="s">
        <v>849</v>
      </c>
      <c r="D41" s="6" t="s">
        <v>10</v>
      </c>
      <c r="E41" s="6" t="s">
        <v>11</v>
      </c>
      <c r="F41" s="6" t="s">
        <v>15</v>
      </c>
      <c r="G41" s="6">
        <v>132</v>
      </c>
      <c r="H41" s="6" t="s">
        <v>16</v>
      </c>
      <c r="I41" s="11"/>
      <c r="J41" s="4"/>
      <c r="K41" s="12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spans="1:21" ht="15.75" thickBot="1" x14ac:dyDescent="0.3">
      <c r="A42" s="8" t="s">
        <v>57</v>
      </c>
      <c r="B42" s="5">
        <v>360</v>
      </c>
      <c r="C42" s="14" t="s">
        <v>850</v>
      </c>
      <c r="D42" s="5" t="s">
        <v>10</v>
      </c>
      <c r="E42" s="5" t="s">
        <v>11</v>
      </c>
      <c r="F42" s="5" t="s">
        <v>12</v>
      </c>
      <c r="G42" s="5">
        <v>103</v>
      </c>
      <c r="H42" s="5" t="s">
        <v>13</v>
      </c>
      <c r="I42" s="10" t="s">
        <v>58</v>
      </c>
      <c r="J42" s="4"/>
      <c r="K42" s="12">
        <f t="shared" ref="K42:K105" si="56">(C43-C42)*1000</f>
        <v>150.36119999999985</v>
      </c>
      <c r="L42" s="4"/>
      <c r="M42" s="12">
        <f t="shared" ref="M42:M105" si="57">K42-$L$2</f>
        <v>36.746773499999847</v>
      </c>
      <c r="N42" s="12">
        <f t="shared" ref="N42" si="58">M42^2</f>
        <v>1350.3253626602909</v>
      </c>
      <c r="O42" s="4"/>
      <c r="P42" s="4"/>
      <c r="Q42" s="4"/>
      <c r="R42" s="4"/>
      <c r="S42" s="4"/>
      <c r="T42" s="4"/>
      <c r="U42" s="4"/>
    </row>
    <row r="43" spans="1:21" ht="15.75" thickBot="1" x14ac:dyDescent="0.3">
      <c r="A43" s="9"/>
      <c r="B43" s="6">
        <v>402</v>
      </c>
      <c r="C43" s="13" t="s">
        <v>851</v>
      </c>
      <c r="D43" s="6" t="s">
        <v>10</v>
      </c>
      <c r="E43" s="6" t="s">
        <v>11</v>
      </c>
      <c r="F43" s="6" t="s">
        <v>15</v>
      </c>
      <c r="G43" s="6">
        <v>132</v>
      </c>
      <c r="H43" s="6" t="s">
        <v>16</v>
      </c>
      <c r="I43" s="11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 spans="1:21" ht="15.75" thickBot="1" x14ac:dyDescent="0.3">
      <c r="A44" s="8" t="s">
        <v>59</v>
      </c>
      <c r="B44" s="5">
        <v>355</v>
      </c>
      <c r="C44" s="14" t="s">
        <v>852</v>
      </c>
      <c r="D44" s="5" t="s">
        <v>10</v>
      </c>
      <c r="E44" s="5" t="s">
        <v>11</v>
      </c>
      <c r="F44" s="5" t="s">
        <v>12</v>
      </c>
      <c r="G44" s="5">
        <v>103</v>
      </c>
      <c r="H44" s="5" t="s">
        <v>13</v>
      </c>
      <c r="I44" s="10" t="s">
        <v>60</v>
      </c>
      <c r="J44" s="4"/>
      <c r="K44" s="12">
        <f t="shared" ref="K44:K107" si="59">(C45-C44)*1000</f>
        <v>142.14339999999993</v>
      </c>
      <c r="L44" s="4"/>
      <c r="M44" s="12">
        <f t="shared" ref="M44:M107" si="60">K44-$L$2</f>
        <v>28.528973499999921</v>
      </c>
      <c r="N44" s="12">
        <f t="shared" ref="N44" si="61">M44^2</f>
        <v>813.90232896369776</v>
      </c>
      <c r="O44" s="4"/>
      <c r="P44" s="4"/>
      <c r="Q44" s="4"/>
      <c r="R44" s="4"/>
      <c r="S44" s="4"/>
      <c r="T44" s="4"/>
      <c r="U44" s="4"/>
    </row>
    <row r="45" spans="1:21" ht="15.75" thickBot="1" x14ac:dyDescent="0.3">
      <c r="A45" s="9"/>
      <c r="B45" s="6">
        <v>391</v>
      </c>
      <c r="C45" s="13" t="s">
        <v>853</v>
      </c>
      <c r="D45" s="6" t="s">
        <v>10</v>
      </c>
      <c r="E45" s="6" t="s">
        <v>11</v>
      </c>
      <c r="F45" s="6" t="s">
        <v>15</v>
      </c>
      <c r="G45" s="6">
        <v>132</v>
      </c>
      <c r="H45" s="6" t="s">
        <v>16</v>
      </c>
      <c r="I45" s="11"/>
      <c r="J45" s="4"/>
      <c r="K45" s="12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 spans="1:21" ht="15.75" thickBot="1" x14ac:dyDescent="0.3">
      <c r="A46" s="8" t="s">
        <v>61</v>
      </c>
      <c r="B46" s="5">
        <v>374</v>
      </c>
      <c r="C46" s="14" t="s">
        <v>854</v>
      </c>
      <c r="D46" s="5" t="s">
        <v>10</v>
      </c>
      <c r="E46" s="5" t="s">
        <v>11</v>
      </c>
      <c r="F46" s="5" t="s">
        <v>12</v>
      </c>
      <c r="G46" s="5">
        <v>103</v>
      </c>
      <c r="H46" s="5" t="s">
        <v>13</v>
      </c>
      <c r="I46" s="10" t="s">
        <v>62</v>
      </c>
      <c r="J46" s="4"/>
      <c r="K46" s="12">
        <f t="shared" ref="K46:K109" si="62">(C47-C46)*1000</f>
        <v>115.07189999999979</v>
      </c>
      <c r="L46" s="4"/>
      <c r="M46" s="12">
        <f t="shared" ref="M46:M109" si="63">K46-$L$2</f>
        <v>1.4574734999997787</v>
      </c>
      <c r="N46" s="12">
        <f t="shared" ref="N46" si="64">M46^2</f>
        <v>2.1242290032016049</v>
      </c>
      <c r="O46" s="4"/>
      <c r="P46" s="4"/>
      <c r="Q46" s="4"/>
      <c r="R46" s="4"/>
      <c r="S46" s="4"/>
      <c r="T46" s="4"/>
      <c r="U46" s="4"/>
    </row>
    <row r="47" spans="1:21" ht="15.75" thickBot="1" x14ac:dyDescent="0.3">
      <c r="A47" s="9"/>
      <c r="B47" s="6">
        <v>408</v>
      </c>
      <c r="C47" s="13" t="s">
        <v>855</v>
      </c>
      <c r="D47" s="6" t="s">
        <v>10</v>
      </c>
      <c r="E47" s="6" t="s">
        <v>11</v>
      </c>
      <c r="F47" s="6" t="s">
        <v>15</v>
      </c>
      <c r="G47" s="6">
        <v>132</v>
      </c>
      <c r="H47" s="6" t="s">
        <v>16</v>
      </c>
      <c r="I47" s="11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 spans="1:21" ht="15.75" thickBot="1" x14ac:dyDescent="0.3">
      <c r="A48" s="8" t="s">
        <v>63</v>
      </c>
      <c r="B48" s="5">
        <v>371</v>
      </c>
      <c r="C48" s="14" t="s">
        <v>856</v>
      </c>
      <c r="D48" s="5" t="s">
        <v>10</v>
      </c>
      <c r="E48" s="5" t="s">
        <v>11</v>
      </c>
      <c r="F48" s="5" t="s">
        <v>12</v>
      </c>
      <c r="G48" s="5">
        <v>103</v>
      </c>
      <c r="H48" s="5" t="s">
        <v>13</v>
      </c>
      <c r="I48" s="10" t="s">
        <v>64</v>
      </c>
      <c r="J48" s="4"/>
      <c r="K48" s="12">
        <f t="shared" ref="K48:K111" si="65">(C49-C48)*1000</f>
        <v>159.49089999999998</v>
      </c>
      <c r="L48" s="4"/>
      <c r="M48" s="12">
        <f t="shared" ref="M48:M111" si="66">K48-$L$2</f>
        <v>45.876473499999975</v>
      </c>
      <c r="N48" s="12">
        <f t="shared" ref="N48" si="67">M48^2</f>
        <v>2104.6508207961997</v>
      </c>
      <c r="O48" s="4"/>
      <c r="P48" s="4"/>
      <c r="Q48" s="4"/>
      <c r="R48" s="4"/>
      <c r="S48" s="4"/>
      <c r="T48" s="4"/>
      <c r="U48" s="4"/>
    </row>
    <row r="49" spans="1:21" ht="15.75" thickBot="1" x14ac:dyDescent="0.3">
      <c r="A49" s="9"/>
      <c r="B49" s="6">
        <v>410</v>
      </c>
      <c r="C49" s="13" t="s">
        <v>857</v>
      </c>
      <c r="D49" s="6" t="s">
        <v>10</v>
      </c>
      <c r="E49" s="6" t="s">
        <v>11</v>
      </c>
      <c r="F49" s="6" t="s">
        <v>15</v>
      </c>
      <c r="G49" s="6">
        <v>132</v>
      </c>
      <c r="H49" s="6" t="s">
        <v>16</v>
      </c>
      <c r="I49" s="11"/>
      <c r="J49" s="4"/>
      <c r="K49" s="12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 spans="1:21" ht="15.75" thickBot="1" x14ac:dyDescent="0.3">
      <c r="A50" s="8" t="s">
        <v>65</v>
      </c>
      <c r="B50" s="5">
        <v>300</v>
      </c>
      <c r="C50" s="14" t="s">
        <v>858</v>
      </c>
      <c r="D50" s="5" t="s">
        <v>10</v>
      </c>
      <c r="E50" s="5" t="s">
        <v>11</v>
      </c>
      <c r="F50" s="5" t="s">
        <v>12</v>
      </c>
      <c r="G50" s="5">
        <v>103</v>
      </c>
      <c r="H50" s="5" t="s">
        <v>13</v>
      </c>
      <c r="I50" s="10" t="s">
        <v>66</v>
      </c>
      <c r="J50" s="4"/>
      <c r="K50" s="12">
        <f t="shared" ref="K50:K113" si="68">(C51-C50)*1000</f>
        <v>99.767199999999832</v>
      </c>
      <c r="L50" s="4"/>
      <c r="M50" s="12">
        <f t="shared" ref="M50:M113" si="69">K50-$L$2</f>
        <v>-13.847226500000176</v>
      </c>
      <c r="N50" s="12">
        <f t="shared" ref="N50" si="70">M50^2</f>
        <v>191.74568174230711</v>
      </c>
      <c r="O50" s="4"/>
      <c r="P50" s="4"/>
      <c r="Q50" s="4"/>
      <c r="R50" s="4"/>
      <c r="S50" s="4"/>
      <c r="T50" s="4"/>
      <c r="U50" s="4"/>
    </row>
    <row r="51" spans="1:21" ht="15.75" thickBot="1" x14ac:dyDescent="0.3">
      <c r="A51" s="9"/>
      <c r="B51" s="6">
        <v>326</v>
      </c>
      <c r="C51" s="13" t="s">
        <v>859</v>
      </c>
      <c r="D51" s="6" t="s">
        <v>10</v>
      </c>
      <c r="E51" s="6" t="s">
        <v>11</v>
      </c>
      <c r="F51" s="6" t="s">
        <v>15</v>
      </c>
      <c r="G51" s="6">
        <v>132</v>
      </c>
      <c r="H51" s="6" t="s">
        <v>16</v>
      </c>
      <c r="I51" s="11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</row>
    <row r="52" spans="1:21" ht="15.75" thickBot="1" x14ac:dyDescent="0.3">
      <c r="A52" s="8" t="s">
        <v>67</v>
      </c>
      <c r="B52" s="5">
        <v>296</v>
      </c>
      <c r="C52" s="14" t="s">
        <v>873</v>
      </c>
      <c r="D52" s="5" t="s">
        <v>10</v>
      </c>
      <c r="E52" s="5" t="s">
        <v>11</v>
      </c>
      <c r="F52" s="5" t="s">
        <v>12</v>
      </c>
      <c r="G52" s="5">
        <v>103</v>
      </c>
      <c r="H52" s="5" t="s">
        <v>13</v>
      </c>
      <c r="I52" s="10" t="s">
        <v>68</v>
      </c>
      <c r="J52" s="4"/>
      <c r="K52" s="12">
        <f t="shared" ref="K52:K115" si="71">(C53-C52)*1000</f>
        <v>56.568100000000008</v>
      </c>
      <c r="L52" s="4"/>
      <c r="M52" s="12">
        <f t="shared" ref="M52:M115" si="72">K52-$L$2</f>
        <v>-57.046326499999999</v>
      </c>
      <c r="N52" s="12">
        <f t="shared" ref="N52" si="73">M52^2</f>
        <v>3254.2833671446024</v>
      </c>
      <c r="O52" s="4"/>
      <c r="P52" s="4"/>
      <c r="Q52" s="4"/>
      <c r="R52" s="4"/>
      <c r="S52" s="4"/>
      <c r="T52" s="4"/>
      <c r="U52" s="4"/>
    </row>
    <row r="53" spans="1:21" ht="15.75" thickBot="1" x14ac:dyDescent="0.3">
      <c r="A53" s="9"/>
      <c r="B53" s="6">
        <v>314</v>
      </c>
      <c r="C53" s="13" t="s">
        <v>860</v>
      </c>
      <c r="D53" s="6" t="s">
        <v>10</v>
      </c>
      <c r="E53" s="6" t="s">
        <v>11</v>
      </c>
      <c r="F53" s="6" t="s">
        <v>15</v>
      </c>
      <c r="G53" s="6">
        <v>132</v>
      </c>
      <c r="H53" s="6" t="s">
        <v>16</v>
      </c>
      <c r="I53" s="11"/>
      <c r="J53" s="4"/>
      <c r="K53" s="12"/>
      <c r="L53" s="4"/>
      <c r="M53" s="4"/>
      <c r="N53" s="4"/>
      <c r="O53" s="4"/>
      <c r="P53" s="4"/>
      <c r="Q53" s="4"/>
      <c r="R53" s="4"/>
      <c r="S53" s="4"/>
      <c r="T53" s="4"/>
      <c r="U53" s="4"/>
    </row>
    <row r="54" spans="1:21" ht="15.75" thickBot="1" x14ac:dyDescent="0.3">
      <c r="A54" s="8" t="s">
        <v>69</v>
      </c>
      <c r="B54" s="5">
        <v>341</v>
      </c>
      <c r="C54" s="14" t="s">
        <v>861</v>
      </c>
      <c r="D54" s="5" t="s">
        <v>10</v>
      </c>
      <c r="E54" s="5" t="s">
        <v>11</v>
      </c>
      <c r="F54" s="5" t="s">
        <v>12</v>
      </c>
      <c r="G54" s="5">
        <v>103</v>
      </c>
      <c r="H54" s="5" t="s">
        <v>13</v>
      </c>
      <c r="I54" s="10" t="s">
        <v>70</v>
      </c>
      <c r="J54" s="4"/>
      <c r="K54" s="12">
        <f t="shared" ref="K54:K117" si="74">(C55-C54)*1000</f>
        <v>101.23539999999997</v>
      </c>
      <c r="L54" s="4"/>
      <c r="M54" s="12">
        <f t="shared" ref="M54:M117" si="75">K54-$L$2</f>
        <v>-12.379026500000037</v>
      </c>
      <c r="N54" s="12">
        <f t="shared" ref="N54" si="76">M54^2</f>
        <v>153.24029708770317</v>
      </c>
      <c r="O54" s="4"/>
      <c r="P54" s="4"/>
      <c r="Q54" s="4"/>
      <c r="R54" s="4"/>
      <c r="S54" s="4"/>
      <c r="T54" s="4"/>
      <c r="U54" s="4"/>
    </row>
    <row r="55" spans="1:21" ht="15.75" thickBot="1" x14ac:dyDescent="0.3">
      <c r="A55" s="9"/>
      <c r="B55" s="6">
        <v>370</v>
      </c>
      <c r="C55" s="13" t="s">
        <v>862</v>
      </c>
      <c r="D55" s="6" t="s">
        <v>10</v>
      </c>
      <c r="E55" s="6" t="s">
        <v>11</v>
      </c>
      <c r="F55" s="6" t="s">
        <v>15</v>
      </c>
      <c r="G55" s="6">
        <v>132</v>
      </c>
      <c r="H55" s="6" t="s">
        <v>16</v>
      </c>
      <c r="I55" s="11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 spans="1:21" ht="15.75" thickBot="1" x14ac:dyDescent="0.3">
      <c r="A56" s="8" t="s">
        <v>71</v>
      </c>
      <c r="B56" s="5">
        <v>257</v>
      </c>
      <c r="C56" s="14" t="s">
        <v>863</v>
      </c>
      <c r="D56" s="5" t="s">
        <v>10</v>
      </c>
      <c r="E56" s="5" t="s">
        <v>11</v>
      </c>
      <c r="F56" s="5" t="s">
        <v>12</v>
      </c>
      <c r="G56" s="5">
        <v>103</v>
      </c>
      <c r="H56" s="5" t="s">
        <v>13</v>
      </c>
      <c r="I56" s="10" t="s">
        <v>72</v>
      </c>
      <c r="J56" s="4"/>
      <c r="K56" s="12">
        <f t="shared" ref="K56:K119" si="77">(C57-C56)*1000</f>
        <v>55.372999999999891</v>
      </c>
      <c r="L56" s="4"/>
      <c r="M56" s="12">
        <f t="shared" ref="M56:M119" si="78">K56-$L$2</f>
        <v>-58.241426500000117</v>
      </c>
      <c r="N56" s="12">
        <f t="shared" ref="N56" si="79">M56^2</f>
        <v>3392.0637607549156</v>
      </c>
      <c r="O56" s="4"/>
      <c r="P56" s="4"/>
      <c r="Q56" s="4"/>
      <c r="R56" s="4"/>
      <c r="S56" s="4"/>
      <c r="T56" s="4"/>
      <c r="U56" s="4"/>
    </row>
    <row r="57" spans="1:21" ht="15.75" thickBot="1" x14ac:dyDescent="0.3">
      <c r="A57" s="9"/>
      <c r="B57" s="6">
        <v>277</v>
      </c>
      <c r="C57" s="13" t="s">
        <v>864</v>
      </c>
      <c r="D57" s="6" t="s">
        <v>10</v>
      </c>
      <c r="E57" s="6" t="s">
        <v>11</v>
      </c>
      <c r="F57" s="6" t="s">
        <v>15</v>
      </c>
      <c r="G57" s="6">
        <v>132</v>
      </c>
      <c r="H57" s="6" t="s">
        <v>16</v>
      </c>
      <c r="I57" s="11"/>
      <c r="J57" s="4"/>
      <c r="K57" s="12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 spans="1:21" ht="15.75" thickBot="1" x14ac:dyDescent="0.3">
      <c r="A58" s="8" t="s">
        <v>73</v>
      </c>
      <c r="B58" s="5">
        <v>253</v>
      </c>
      <c r="C58" s="14" t="s">
        <v>865</v>
      </c>
      <c r="D58" s="5" t="s">
        <v>10</v>
      </c>
      <c r="E58" s="5" t="s">
        <v>11</v>
      </c>
      <c r="F58" s="5" t="s">
        <v>12</v>
      </c>
      <c r="G58" s="5">
        <v>103</v>
      </c>
      <c r="H58" s="5" t="s">
        <v>13</v>
      </c>
      <c r="I58" s="10" t="s">
        <v>74</v>
      </c>
      <c r="J58" s="4"/>
      <c r="K58" s="12">
        <f t="shared" ref="K58:K121" si="80">(C59-C58)*1000</f>
        <v>95.306500000000185</v>
      </c>
      <c r="L58" s="4"/>
      <c r="M58" s="12">
        <f t="shared" ref="M58:M121" si="81">K58-$L$2</f>
        <v>-18.307926499999823</v>
      </c>
      <c r="N58" s="12">
        <f t="shared" ref="N58" si="82">M58^2</f>
        <v>335.18017272939579</v>
      </c>
      <c r="O58" s="4"/>
      <c r="P58" s="4"/>
      <c r="Q58" s="4"/>
      <c r="R58" s="4"/>
      <c r="S58" s="4"/>
      <c r="T58" s="4"/>
      <c r="U58" s="4"/>
    </row>
    <row r="59" spans="1:21" ht="15.75" thickBot="1" x14ac:dyDescent="0.3">
      <c r="A59" s="9"/>
      <c r="B59" s="6">
        <v>281</v>
      </c>
      <c r="C59" s="13" t="s">
        <v>866</v>
      </c>
      <c r="D59" s="6" t="s">
        <v>10</v>
      </c>
      <c r="E59" s="6" t="s">
        <v>11</v>
      </c>
      <c r="F59" s="6" t="s">
        <v>15</v>
      </c>
      <c r="G59" s="6">
        <v>132</v>
      </c>
      <c r="H59" s="6" t="s">
        <v>16</v>
      </c>
      <c r="I59" s="11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 spans="1:21" ht="15.75" thickBot="1" x14ac:dyDescent="0.3">
      <c r="A60" s="8" t="s">
        <v>75</v>
      </c>
      <c r="B60" s="5">
        <v>266</v>
      </c>
      <c r="C60" s="14" t="s">
        <v>867</v>
      </c>
      <c r="D60" s="5" t="s">
        <v>10</v>
      </c>
      <c r="E60" s="5" t="s">
        <v>11</v>
      </c>
      <c r="F60" s="5" t="s">
        <v>12</v>
      </c>
      <c r="G60" s="5">
        <v>103</v>
      </c>
      <c r="H60" s="5" t="s">
        <v>13</v>
      </c>
      <c r="I60" s="10" t="s">
        <v>76</v>
      </c>
      <c r="J60" s="4"/>
      <c r="K60" s="12">
        <f t="shared" ref="K60:K123" si="83">(C61-C60)*1000</f>
        <v>134.35330000000013</v>
      </c>
      <c r="L60" s="4"/>
      <c r="M60" s="12">
        <f t="shared" ref="M60:M123" si="84">K60-$L$2</f>
        <v>20.738873500000125</v>
      </c>
      <c r="N60" s="12">
        <f t="shared" ref="N60" si="85">M60^2</f>
        <v>430.10087404900742</v>
      </c>
      <c r="O60" s="4"/>
      <c r="P60" s="4"/>
      <c r="Q60" s="4"/>
      <c r="R60" s="4"/>
      <c r="S60" s="4"/>
      <c r="T60" s="4"/>
      <c r="U60" s="4"/>
    </row>
    <row r="61" spans="1:21" ht="15.75" thickBot="1" x14ac:dyDescent="0.3">
      <c r="A61" s="9"/>
      <c r="B61" s="6">
        <v>302</v>
      </c>
      <c r="C61" s="13" t="s">
        <v>868</v>
      </c>
      <c r="D61" s="6" t="s">
        <v>10</v>
      </c>
      <c r="E61" s="6" t="s">
        <v>11</v>
      </c>
      <c r="F61" s="6" t="s">
        <v>15</v>
      </c>
      <c r="G61" s="6">
        <v>132</v>
      </c>
      <c r="H61" s="6" t="s">
        <v>16</v>
      </c>
      <c r="I61" s="11"/>
      <c r="J61" s="4"/>
      <c r="K61" s="12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 spans="1:21" ht="15.75" thickBot="1" x14ac:dyDescent="0.3">
      <c r="A62" s="8" t="s">
        <v>77</v>
      </c>
      <c r="B62" s="5">
        <v>333</v>
      </c>
      <c r="C62" s="14" t="s">
        <v>869</v>
      </c>
      <c r="D62" s="5" t="s">
        <v>10</v>
      </c>
      <c r="E62" s="5" t="s">
        <v>11</v>
      </c>
      <c r="F62" s="5" t="s">
        <v>12</v>
      </c>
      <c r="G62" s="5">
        <v>103</v>
      </c>
      <c r="H62" s="5" t="s">
        <v>13</v>
      </c>
      <c r="I62" s="10" t="s">
        <v>78</v>
      </c>
      <c r="J62" s="4"/>
      <c r="K62" s="12">
        <f t="shared" ref="K62:K125" si="86">(C63-C62)*1000</f>
        <v>99.863100000000088</v>
      </c>
      <c r="L62" s="4"/>
      <c r="M62" s="12">
        <f t="shared" ref="M62:M125" si="87">K62-$L$2</f>
        <v>-13.751326499999919</v>
      </c>
      <c r="N62" s="12">
        <f t="shared" ref="N62" si="88">M62^2</f>
        <v>189.09898050960004</v>
      </c>
      <c r="O62" s="4"/>
      <c r="P62" s="4"/>
      <c r="Q62" s="4"/>
      <c r="R62" s="4"/>
      <c r="S62" s="4"/>
      <c r="T62" s="4"/>
      <c r="U62" s="4"/>
    </row>
    <row r="63" spans="1:21" ht="15.75" thickBot="1" x14ac:dyDescent="0.3">
      <c r="A63" s="9"/>
      <c r="B63" s="6">
        <v>370</v>
      </c>
      <c r="C63" s="13" t="s">
        <v>872</v>
      </c>
      <c r="D63" s="6" t="s">
        <v>10</v>
      </c>
      <c r="E63" s="6" t="s">
        <v>11</v>
      </c>
      <c r="F63" s="6" t="s">
        <v>15</v>
      </c>
      <c r="G63" s="6">
        <v>132</v>
      </c>
      <c r="H63" s="6" t="s">
        <v>16</v>
      </c>
      <c r="I63" s="11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 spans="1:21" ht="15.75" thickBot="1" x14ac:dyDescent="0.3">
      <c r="A64" s="8" t="s">
        <v>79</v>
      </c>
      <c r="B64" s="5">
        <v>314</v>
      </c>
      <c r="C64" s="14" t="s">
        <v>870</v>
      </c>
      <c r="D64" s="5" t="s">
        <v>10</v>
      </c>
      <c r="E64" s="5" t="s">
        <v>11</v>
      </c>
      <c r="F64" s="5" t="s">
        <v>12</v>
      </c>
      <c r="G64" s="5">
        <v>103</v>
      </c>
      <c r="H64" s="5" t="s">
        <v>13</v>
      </c>
      <c r="I64" s="10" t="s">
        <v>80</v>
      </c>
      <c r="J64" s="4"/>
      <c r="K64" s="12">
        <f t="shared" ref="K64:K127" si="89">(C65-C64)*1000</f>
        <v>106.3189</v>
      </c>
      <c r="L64" s="4"/>
      <c r="M64" s="12">
        <f t="shared" ref="M64:M127" si="90">K64-$L$2</f>
        <v>-7.2955265000000082</v>
      </c>
      <c r="N64" s="12">
        <f t="shared" ref="N64" si="91">M64^2</f>
        <v>53.224706912202372</v>
      </c>
      <c r="O64" s="4"/>
      <c r="P64" s="4"/>
      <c r="Q64" s="4"/>
      <c r="R64" s="4"/>
      <c r="S64" s="4"/>
      <c r="T64" s="4"/>
      <c r="U64" s="4"/>
    </row>
    <row r="65" spans="1:21" ht="15.75" thickBot="1" x14ac:dyDescent="0.3">
      <c r="A65" s="9"/>
      <c r="B65" s="6">
        <v>343</v>
      </c>
      <c r="C65" s="13" t="s">
        <v>871</v>
      </c>
      <c r="D65" s="6" t="s">
        <v>10</v>
      </c>
      <c r="E65" s="6" t="s">
        <v>11</v>
      </c>
      <c r="F65" s="6" t="s">
        <v>15</v>
      </c>
      <c r="G65" s="6">
        <v>132</v>
      </c>
      <c r="H65" s="6" t="s">
        <v>16</v>
      </c>
      <c r="I65" s="11"/>
      <c r="J65" s="4"/>
      <c r="K65" s="12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 spans="1:21" ht="15.75" thickBot="1" x14ac:dyDescent="0.3">
      <c r="A66" s="8" t="s">
        <v>81</v>
      </c>
      <c r="B66" s="5">
        <v>288</v>
      </c>
      <c r="C66" s="14" t="s">
        <v>874</v>
      </c>
      <c r="D66" s="5" t="s">
        <v>10</v>
      </c>
      <c r="E66" s="5" t="s">
        <v>11</v>
      </c>
      <c r="F66" s="5" t="s">
        <v>12</v>
      </c>
      <c r="G66" s="5">
        <v>103</v>
      </c>
      <c r="H66" s="5" t="s">
        <v>13</v>
      </c>
      <c r="I66" s="10" t="s">
        <v>82</v>
      </c>
      <c r="J66" s="4"/>
      <c r="K66" s="12">
        <f t="shared" ref="K66:K129" si="92">(C67-C66)*1000</f>
        <v>128.19719999999978</v>
      </c>
      <c r="L66" s="4"/>
      <c r="M66" s="12">
        <f t="shared" ref="M66:M129" si="93">K66-$L$2</f>
        <v>14.582773499999774</v>
      </c>
      <c r="N66" s="12">
        <f t="shared" ref="N66" si="94">M66^2</f>
        <v>212.65728295229567</v>
      </c>
      <c r="O66" s="4"/>
      <c r="P66" s="4"/>
      <c r="Q66" s="4"/>
      <c r="R66" s="4"/>
      <c r="S66" s="4"/>
      <c r="T66" s="4"/>
      <c r="U66" s="4"/>
    </row>
    <row r="67" spans="1:21" ht="15.75" thickBot="1" x14ac:dyDescent="0.3">
      <c r="A67" s="9"/>
      <c r="B67" s="6">
        <v>320</v>
      </c>
      <c r="C67" s="13" t="s">
        <v>875</v>
      </c>
      <c r="D67" s="6" t="s">
        <v>10</v>
      </c>
      <c r="E67" s="6" t="s">
        <v>11</v>
      </c>
      <c r="F67" s="6" t="s">
        <v>15</v>
      </c>
      <c r="G67" s="6">
        <v>132</v>
      </c>
      <c r="H67" s="6" t="s">
        <v>16</v>
      </c>
      <c r="I67" s="11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 spans="1:21" ht="15.75" thickBot="1" x14ac:dyDescent="0.3">
      <c r="A68" s="8" t="s">
        <v>83</v>
      </c>
      <c r="B68" s="5">
        <v>312</v>
      </c>
      <c r="C68" s="14" t="s">
        <v>876</v>
      </c>
      <c r="D68" s="5" t="s">
        <v>10</v>
      </c>
      <c r="E68" s="5" t="s">
        <v>11</v>
      </c>
      <c r="F68" s="5" t="s">
        <v>12</v>
      </c>
      <c r="G68" s="5">
        <v>103</v>
      </c>
      <c r="H68" s="5" t="s">
        <v>13</v>
      </c>
      <c r="I68" s="10" t="s">
        <v>84</v>
      </c>
      <c r="J68" s="4"/>
      <c r="K68" s="12">
        <f t="shared" ref="K68:K131" si="95">(C69-C68)*1000</f>
        <v>143.15760000000012</v>
      </c>
      <c r="L68" s="4"/>
      <c r="M68" s="12">
        <f t="shared" ref="M68:M131" si="96">K68-$L$2</f>
        <v>29.543173500000108</v>
      </c>
      <c r="N68" s="12">
        <f t="shared" ref="N68" si="97">M68^2</f>
        <v>872.79910045110864</v>
      </c>
      <c r="O68" s="4"/>
      <c r="P68" s="4"/>
      <c r="Q68" s="4"/>
      <c r="R68" s="4"/>
      <c r="S68" s="4"/>
      <c r="T68" s="4"/>
      <c r="U68" s="4"/>
    </row>
    <row r="69" spans="1:21" ht="15.75" thickBot="1" x14ac:dyDescent="0.3">
      <c r="A69" s="9"/>
      <c r="B69" s="6">
        <v>356</v>
      </c>
      <c r="C69" s="13" t="s">
        <v>877</v>
      </c>
      <c r="D69" s="6" t="s">
        <v>10</v>
      </c>
      <c r="E69" s="6" t="s">
        <v>11</v>
      </c>
      <c r="F69" s="6" t="s">
        <v>15</v>
      </c>
      <c r="G69" s="6">
        <v>132</v>
      </c>
      <c r="H69" s="6" t="s">
        <v>16</v>
      </c>
      <c r="I69" s="11"/>
      <c r="J69" s="4"/>
      <c r="K69" s="12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 spans="1:21" ht="15.75" thickBot="1" x14ac:dyDescent="0.3">
      <c r="A70" s="8" t="s">
        <v>85</v>
      </c>
      <c r="B70" s="5">
        <v>238</v>
      </c>
      <c r="C70" s="14" t="s">
        <v>878</v>
      </c>
      <c r="D70" s="5" t="s">
        <v>10</v>
      </c>
      <c r="E70" s="5" t="s">
        <v>11</v>
      </c>
      <c r="F70" s="5" t="s">
        <v>12</v>
      </c>
      <c r="G70" s="5">
        <v>103</v>
      </c>
      <c r="H70" s="5" t="s">
        <v>13</v>
      </c>
      <c r="I70" s="10" t="s">
        <v>86</v>
      </c>
      <c r="J70" s="4"/>
      <c r="K70" s="12">
        <f t="shared" ref="K70:K133" si="98">(C71-C70)*1000</f>
        <v>158.65759999999995</v>
      </c>
      <c r="L70" s="4"/>
      <c r="M70" s="12">
        <f t="shared" ref="M70:M133" si="99">K70-$L$2</f>
        <v>45.043173499999938</v>
      </c>
      <c r="N70" s="12">
        <f t="shared" ref="N70" si="100">M70^2</f>
        <v>2028.8874789510967</v>
      </c>
      <c r="O70" s="4"/>
      <c r="P70" s="4"/>
      <c r="Q70" s="4"/>
      <c r="R70" s="4"/>
      <c r="S70" s="4"/>
      <c r="T70" s="4"/>
      <c r="U70" s="4"/>
    </row>
    <row r="71" spans="1:21" ht="15.75" thickBot="1" x14ac:dyDescent="0.3">
      <c r="A71" s="9"/>
      <c r="B71" s="6">
        <v>279</v>
      </c>
      <c r="C71" s="13" t="s">
        <v>879</v>
      </c>
      <c r="D71" s="6" t="s">
        <v>10</v>
      </c>
      <c r="E71" s="6" t="s">
        <v>11</v>
      </c>
      <c r="F71" s="6" t="s">
        <v>15</v>
      </c>
      <c r="G71" s="6">
        <v>132</v>
      </c>
      <c r="H71" s="6" t="s">
        <v>16</v>
      </c>
      <c r="I71" s="11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 spans="1:21" ht="15.75" thickBot="1" x14ac:dyDescent="0.3">
      <c r="A72" s="8" t="s">
        <v>87</v>
      </c>
      <c r="B72" s="5">
        <v>315</v>
      </c>
      <c r="C72" s="14" t="s">
        <v>880</v>
      </c>
      <c r="D72" s="5" t="s">
        <v>10</v>
      </c>
      <c r="E72" s="5" t="s">
        <v>11</v>
      </c>
      <c r="F72" s="5" t="s">
        <v>12</v>
      </c>
      <c r="G72" s="5">
        <v>103</v>
      </c>
      <c r="H72" s="5" t="s">
        <v>13</v>
      </c>
      <c r="I72" s="10" t="s">
        <v>88</v>
      </c>
      <c r="J72" s="4"/>
      <c r="K72" s="12">
        <f t="shared" ref="K72:K135" si="101">(C73-C72)*1000</f>
        <v>91.103600000000057</v>
      </c>
      <c r="L72" s="4"/>
      <c r="M72" s="12">
        <f t="shared" ref="M72:M135" si="102">K72-$L$2</f>
        <v>-22.510826499999951</v>
      </c>
      <c r="N72" s="12">
        <f t="shared" ref="N72" si="103">M72^2</f>
        <v>506.73730971310005</v>
      </c>
      <c r="O72" s="4"/>
      <c r="P72" s="4"/>
      <c r="Q72" s="4"/>
      <c r="R72" s="4"/>
      <c r="S72" s="4"/>
      <c r="T72" s="4"/>
      <c r="U72" s="4"/>
    </row>
    <row r="73" spans="1:21" ht="15.75" thickBot="1" x14ac:dyDescent="0.3">
      <c r="A73" s="9"/>
      <c r="B73" s="6">
        <v>338</v>
      </c>
      <c r="C73" s="13" t="s">
        <v>881</v>
      </c>
      <c r="D73" s="6" t="s">
        <v>10</v>
      </c>
      <c r="E73" s="6" t="s">
        <v>11</v>
      </c>
      <c r="F73" s="6" t="s">
        <v>15</v>
      </c>
      <c r="G73" s="6">
        <v>132</v>
      </c>
      <c r="H73" s="6" t="s">
        <v>16</v>
      </c>
      <c r="I73" s="11"/>
      <c r="J73" s="4"/>
      <c r="K73" s="12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 spans="1:21" ht="15.75" thickBot="1" x14ac:dyDescent="0.3">
      <c r="A74" s="8" t="s">
        <v>89</v>
      </c>
      <c r="B74" s="5">
        <v>277</v>
      </c>
      <c r="C74" s="14" t="s">
        <v>882</v>
      </c>
      <c r="D74" s="5" t="s">
        <v>10</v>
      </c>
      <c r="E74" s="5" t="s">
        <v>11</v>
      </c>
      <c r="F74" s="5" t="s">
        <v>12</v>
      </c>
      <c r="G74" s="5">
        <v>103</v>
      </c>
      <c r="H74" s="5" t="s">
        <v>13</v>
      </c>
      <c r="I74" s="10" t="s">
        <v>90</v>
      </c>
      <c r="J74" s="4"/>
      <c r="K74" s="12">
        <f t="shared" ref="K74:K137" si="104">(C75-C74)*1000</f>
        <v>67.343300000000113</v>
      </c>
      <c r="L74" s="4"/>
      <c r="M74" s="12">
        <f t="shared" ref="M74:M137" si="105">K74-$L$2</f>
        <v>-46.271126499999895</v>
      </c>
      <c r="N74" s="12">
        <f t="shared" ref="N74" si="106">M74^2</f>
        <v>2141.0171475789925</v>
      </c>
      <c r="O74" s="4"/>
      <c r="P74" s="4"/>
      <c r="Q74" s="4"/>
      <c r="R74" s="4"/>
      <c r="S74" s="4"/>
      <c r="T74" s="4"/>
      <c r="U74" s="4"/>
    </row>
    <row r="75" spans="1:21" ht="15.75" thickBot="1" x14ac:dyDescent="0.3">
      <c r="A75" s="9"/>
      <c r="B75" s="6">
        <v>296</v>
      </c>
      <c r="C75" s="13" t="s">
        <v>883</v>
      </c>
      <c r="D75" s="6" t="s">
        <v>10</v>
      </c>
      <c r="E75" s="6" t="s">
        <v>11</v>
      </c>
      <c r="F75" s="6" t="s">
        <v>15</v>
      </c>
      <c r="G75" s="6">
        <v>132</v>
      </c>
      <c r="H75" s="6" t="s">
        <v>16</v>
      </c>
      <c r="I75" s="11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</row>
    <row r="76" spans="1:21" ht="15.75" thickBot="1" x14ac:dyDescent="0.3">
      <c r="A76" s="8" t="s">
        <v>91</v>
      </c>
      <c r="B76" s="5">
        <v>243</v>
      </c>
      <c r="C76" s="14" t="s">
        <v>884</v>
      </c>
      <c r="D76" s="5" t="s">
        <v>10</v>
      </c>
      <c r="E76" s="5" t="s">
        <v>11</v>
      </c>
      <c r="F76" s="5" t="s">
        <v>12</v>
      </c>
      <c r="G76" s="5">
        <v>103</v>
      </c>
      <c r="H76" s="5" t="s">
        <v>13</v>
      </c>
      <c r="I76" s="10" t="s">
        <v>92</v>
      </c>
      <c r="J76" s="4"/>
      <c r="K76" s="12">
        <f t="shared" ref="K76:K139" si="107">(C77-C76)*1000</f>
        <v>64.688899999999933</v>
      </c>
      <c r="L76" s="4"/>
      <c r="M76" s="12">
        <f t="shared" ref="M76:M139" si="108">K76-$L$2</f>
        <v>-48.925526500000075</v>
      </c>
      <c r="N76" s="12">
        <f t="shared" ref="N76" si="109">M76^2</f>
        <v>2393.7071433022097</v>
      </c>
      <c r="O76" s="4"/>
      <c r="P76" s="4"/>
      <c r="Q76" s="4"/>
      <c r="R76" s="4"/>
      <c r="S76" s="4"/>
      <c r="T76" s="4"/>
      <c r="U76" s="4"/>
    </row>
    <row r="77" spans="1:21" ht="15.75" thickBot="1" x14ac:dyDescent="0.3">
      <c r="A77" s="9"/>
      <c r="B77" s="6">
        <v>266</v>
      </c>
      <c r="C77" s="13" t="s">
        <v>885</v>
      </c>
      <c r="D77" s="6" t="s">
        <v>10</v>
      </c>
      <c r="E77" s="6" t="s">
        <v>11</v>
      </c>
      <c r="F77" s="6" t="s">
        <v>15</v>
      </c>
      <c r="G77" s="6">
        <v>132</v>
      </c>
      <c r="H77" s="6" t="s">
        <v>16</v>
      </c>
      <c r="I77" s="11"/>
      <c r="J77" s="4"/>
      <c r="K77" s="12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 spans="1:21" ht="15.75" thickBot="1" x14ac:dyDescent="0.3">
      <c r="A78" s="8" t="s">
        <v>93</v>
      </c>
      <c r="B78" s="5">
        <v>287</v>
      </c>
      <c r="C78" s="14" t="s">
        <v>886</v>
      </c>
      <c r="D78" s="5" t="s">
        <v>10</v>
      </c>
      <c r="E78" s="5" t="s">
        <v>11</v>
      </c>
      <c r="F78" s="5" t="s">
        <v>12</v>
      </c>
      <c r="G78" s="5">
        <v>103</v>
      </c>
      <c r="H78" s="5" t="s">
        <v>13</v>
      </c>
      <c r="I78" s="10" t="s">
        <v>94</v>
      </c>
      <c r="J78" s="4"/>
      <c r="K78" s="12">
        <f t="shared" ref="K78:K141" si="110">(C79-C78)*1000</f>
        <v>108.24040000000012</v>
      </c>
      <c r="L78" s="4"/>
      <c r="M78" s="12">
        <f t="shared" ref="M78:M141" si="111">K78-$L$2</f>
        <v>-5.3740264999998857</v>
      </c>
      <c r="N78" s="12">
        <f t="shared" ref="N78" si="112">M78^2</f>
        <v>28.880160822701022</v>
      </c>
      <c r="O78" s="4"/>
      <c r="P78" s="4"/>
      <c r="Q78" s="4"/>
      <c r="R78" s="4"/>
      <c r="S78" s="4"/>
      <c r="T78" s="4"/>
      <c r="U78" s="4"/>
    </row>
    <row r="79" spans="1:21" ht="15.75" thickBot="1" x14ac:dyDescent="0.3">
      <c r="A79" s="9"/>
      <c r="B79" s="6">
        <v>317</v>
      </c>
      <c r="C79" s="13" t="s">
        <v>887</v>
      </c>
      <c r="D79" s="6" t="s">
        <v>10</v>
      </c>
      <c r="E79" s="6" t="s">
        <v>11</v>
      </c>
      <c r="F79" s="6" t="s">
        <v>15</v>
      </c>
      <c r="G79" s="6">
        <v>132</v>
      </c>
      <c r="H79" s="6" t="s">
        <v>16</v>
      </c>
      <c r="I79" s="11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</row>
    <row r="80" spans="1:21" ht="15.75" thickBot="1" x14ac:dyDescent="0.3">
      <c r="A80" s="8" t="s">
        <v>95</v>
      </c>
      <c r="B80" s="5">
        <v>368</v>
      </c>
      <c r="C80" s="14" t="s">
        <v>888</v>
      </c>
      <c r="D80" s="5" t="s">
        <v>10</v>
      </c>
      <c r="E80" s="5" t="s">
        <v>11</v>
      </c>
      <c r="F80" s="5" t="s">
        <v>12</v>
      </c>
      <c r="G80" s="5">
        <v>103</v>
      </c>
      <c r="H80" s="5" t="s">
        <v>13</v>
      </c>
      <c r="I80" s="10" t="s">
        <v>96</v>
      </c>
      <c r="J80" s="4"/>
      <c r="K80" s="12">
        <f t="shared" ref="K80:K143" si="113">(C81-C80)*1000</f>
        <v>137.17910000000001</v>
      </c>
      <c r="L80" s="4"/>
      <c r="M80" s="12">
        <f t="shared" ref="M80:M143" si="114">K80-$L$2</f>
        <v>23.564673499999998</v>
      </c>
      <c r="N80" s="12">
        <f t="shared" ref="N80" si="115">M80^2</f>
        <v>555.29383716160214</v>
      </c>
      <c r="O80" s="4"/>
      <c r="P80" s="4"/>
      <c r="Q80" s="4"/>
      <c r="R80" s="4"/>
      <c r="S80" s="4"/>
      <c r="T80" s="4"/>
      <c r="U80" s="4"/>
    </row>
    <row r="81" spans="1:21" ht="15.75" thickBot="1" x14ac:dyDescent="0.3">
      <c r="A81" s="9"/>
      <c r="B81" s="6">
        <v>407</v>
      </c>
      <c r="C81" s="13" t="s">
        <v>889</v>
      </c>
      <c r="D81" s="6" t="s">
        <v>10</v>
      </c>
      <c r="E81" s="6" t="s">
        <v>11</v>
      </c>
      <c r="F81" s="6" t="s">
        <v>15</v>
      </c>
      <c r="G81" s="6">
        <v>132</v>
      </c>
      <c r="H81" s="6" t="s">
        <v>16</v>
      </c>
      <c r="I81" s="11"/>
      <c r="J81" s="4"/>
      <c r="K81" s="12"/>
      <c r="L81" s="4"/>
      <c r="M81" s="4"/>
      <c r="N81" s="4"/>
      <c r="O81" s="4"/>
      <c r="P81" s="4"/>
      <c r="Q81" s="4"/>
      <c r="R81" s="4"/>
      <c r="S81" s="4"/>
      <c r="T81" s="4"/>
      <c r="U81" s="4"/>
    </row>
    <row r="82" spans="1:21" ht="15.75" thickBot="1" x14ac:dyDescent="0.3">
      <c r="A82" s="8" t="s">
        <v>97</v>
      </c>
      <c r="B82" s="5">
        <v>305</v>
      </c>
      <c r="C82" s="14" t="s">
        <v>890</v>
      </c>
      <c r="D82" s="5" t="s">
        <v>10</v>
      </c>
      <c r="E82" s="5" t="s">
        <v>11</v>
      </c>
      <c r="F82" s="5" t="s">
        <v>12</v>
      </c>
      <c r="G82" s="5">
        <v>103</v>
      </c>
      <c r="H82" s="5" t="s">
        <v>13</v>
      </c>
      <c r="I82" s="10" t="s">
        <v>98</v>
      </c>
      <c r="J82" s="4"/>
      <c r="K82" s="12">
        <f t="shared" ref="K82:K145" si="116">(C83-C82)*1000</f>
        <v>57.072400000000023</v>
      </c>
      <c r="L82" s="4"/>
      <c r="M82" s="12">
        <f t="shared" ref="M82:M145" si="117">K82-$L$2</f>
        <v>-56.542026499999984</v>
      </c>
      <c r="N82" s="12">
        <f t="shared" ref="N82" si="118">M82^2</f>
        <v>3197.0007607267003</v>
      </c>
      <c r="O82" s="4"/>
      <c r="P82" s="4"/>
      <c r="Q82" s="4"/>
      <c r="R82" s="4"/>
      <c r="S82" s="4"/>
      <c r="T82" s="4"/>
      <c r="U82" s="4"/>
    </row>
    <row r="83" spans="1:21" ht="15.75" thickBot="1" x14ac:dyDescent="0.3">
      <c r="A83" s="9"/>
      <c r="B83" s="6">
        <v>324</v>
      </c>
      <c r="C83" s="13" t="s">
        <v>891</v>
      </c>
      <c r="D83" s="6" t="s">
        <v>10</v>
      </c>
      <c r="E83" s="6" t="s">
        <v>11</v>
      </c>
      <c r="F83" s="6" t="s">
        <v>15</v>
      </c>
      <c r="G83" s="6">
        <v>132</v>
      </c>
      <c r="H83" s="6" t="s">
        <v>16</v>
      </c>
      <c r="I83" s="11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</row>
    <row r="84" spans="1:21" ht="15.75" thickBot="1" x14ac:dyDescent="0.3">
      <c r="A84" s="8" t="s">
        <v>99</v>
      </c>
      <c r="B84" s="5">
        <v>204</v>
      </c>
      <c r="C84" s="14" t="s">
        <v>892</v>
      </c>
      <c r="D84" s="5" t="s">
        <v>10</v>
      </c>
      <c r="E84" s="5" t="s">
        <v>11</v>
      </c>
      <c r="F84" s="5" t="s">
        <v>12</v>
      </c>
      <c r="G84" s="5">
        <v>103</v>
      </c>
      <c r="H84" s="5" t="s">
        <v>13</v>
      </c>
      <c r="I84" s="10" t="s">
        <v>100</v>
      </c>
      <c r="J84" s="4"/>
      <c r="K84" s="12">
        <f t="shared" ref="K84:K147" si="119">(C85-C84)*1000</f>
        <v>112.66820000000011</v>
      </c>
      <c r="L84" s="4"/>
      <c r="M84" s="12">
        <f t="shared" ref="M84:M147" si="120">K84-$L$2</f>
        <v>-0.94622649999989505</v>
      </c>
      <c r="N84" s="12">
        <f t="shared" ref="N84" si="121">M84^2</f>
        <v>0.89534458930205141</v>
      </c>
      <c r="O84" s="4"/>
      <c r="P84" s="4"/>
      <c r="Q84" s="4"/>
      <c r="R84" s="4"/>
      <c r="S84" s="4"/>
      <c r="T84" s="4"/>
      <c r="U84" s="4"/>
    </row>
    <row r="85" spans="1:21" ht="15.75" thickBot="1" x14ac:dyDescent="0.3">
      <c r="A85" s="9"/>
      <c r="B85" s="6">
        <v>232</v>
      </c>
      <c r="C85" s="13" t="s">
        <v>893</v>
      </c>
      <c r="D85" s="6" t="s">
        <v>10</v>
      </c>
      <c r="E85" s="6" t="s">
        <v>11</v>
      </c>
      <c r="F85" s="6" t="s">
        <v>15</v>
      </c>
      <c r="G85" s="6">
        <v>132</v>
      </c>
      <c r="H85" s="6" t="s">
        <v>16</v>
      </c>
      <c r="I85" s="11"/>
      <c r="J85" s="4"/>
      <c r="K85" s="12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 spans="1:21" ht="15.75" thickBot="1" x14ac:dyDescent="0.3">
      <c r="A86" s="8" t="s">
        <v>101</v>
      </c>
      <c r="B86" s="5">
        <v>346</v>
      </c>
      <c r="C86" s="14" t="s">
        <v>894</v>
      </c>
      <c r="D86" s="5" t="s">
        <v>10</v>
      </c>
      <c r="E86" s="5" t="s">
        <v>11</v>
      </c>
      <c r="F86" s="5" t="s">
        <v>12</v>
      </c>
      <c r="G86" s="5">
        <v>103</v>
      </c>
      <c r="H86" s="5" t="s">
        <v>13</v>
      </c>
      <c r="I86" s="10" t="s">
        <v>102</v>
      </c>
      <c r="J86" s="4"/>
      <c r="K86" s="12">
        <f t="shared" ref="K86:K149" si="122">(C87-C86)*1000</f>
        <v>144.41999999999999</v>
      </c>
      <c r="L86" s="4"/>
      <c r="M86" s="12">
        <f t="shared" ref="M86:M149" si="123">K86-$L$2</f>
        <v>30.80557349999998</v>
      </c>
      <c r="N86" s="12">
        <f t="shared" ref="N86" si="124">M86^2</f>
        <v>948.98335866390107</v>
      </c>
      <c r="O86" s="4"/>
      <c r="P86" s="4"/>
      <c r="Q86" s="4"/>
      <c r="R86" s="4"/>
      <c r="S86" s="4"/>
      <c r="T86" s="4"/>
      <c r="U86" s="4"/>
    </row>
    <row r="87" spans="1:21" ht="15.75" thickBot="1" x14ac:dyDescent="0.3">
      <c r="A87" s="9"/>
      <c r="B87" s="6">
        <v>386</v>
      </c>
      <c r="C87" s="13" t="s">
        <v>895</v>
      </c>
      <c r="D87" s="6" t="s">
        <v>10</v>
      </c>
      <c r="E87" s="6" t="s">
        <v>11</v>
      </c>
      <c r="F87" s="6" t="s">
        <v>15</v>
      </c>
      <c r="G87" s="6">
        <v>132</v>
      </c>
      <c r="H87" s="6" t="s">
        <v>16</v>
      </c>
      <c r="I87" s="11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</row>
    <row r="88" spans="1:21" ht="15.75" thickBot="1" x14ac:dyDescent="0.3">
      <c r="A88" s="8" t="s">
        <v>103</v>
      </c>
      <c r="B88" s="5">
        <v>299</v>
      </c>
      <c r="C88" s="14" t="s">
        <v>896</v>
      </c>
      <c r="D88" s="5" t="s">
        <v>10</v>
      </c>
      <c r="E88" s="5" t="s">
        <v>11</v>
      </c>
      <c r="F88" s="5" t="s">
        <v>12</v>
      </c>
      <c r="G88" s="5">
        <v>103</v>
      </c>
      <c r="H88" s="5" t="s">
        <v>13</v>
      </c>
      <c r="I88" s="10" t="s">
        <v>104</v>
      </c>
      <c r="J88" s="4"/>
      <c r="K88" s="12">
        <f t="shared" ref="K88:K151" si="125">(C89-C88)*1000</f>
        <v>115.62070000000003</v>
      </c>
      <c r="L88" s="4"/>
      <c r="M88" s="12">
        <f t="shared" ref="M88:M151" si="126">K88-$L$2</f>
        <v>2.0062735000000202</v>
      </c>
      <c r="N88" s="12">
        <f t="shared" ref="N88" si="127">M88^2</f>
        <v>4.0251333568023311</v>
      </c>
      <c r="O88" s="4"/>
      <c r="P88" s="4"/>
      <c r="Q88" s="4"/>
      <c r="R88" s="4"/>
      <c r="S88" s="4"/>
      <c r="T88" s="4"/>
      <c r="U88" s="4"/>
    </row>
    <row r="89" spans="1:21" ht="15.75" thickBot="1" x14ac:dyDescent="0.3">
      <c r="A89" s="9"/>
      <c r="B89" s="6">
        <v>338</v>
      </c>
      <c r="C89" s="13" t="s">
        <v>897</v>
      </c>
      <c r="D89" s="6" t="s">
        <v>10</v>
      </c>
      <c r="E89" s="6" t="s">
        <v>11</v>
      </c>
      <c r="F89" s="6" t="s">
        <v>15</v>
      </c>
      <c r="G89" s="6">
        <v>132</v>
      </c>
      <c r="H89" s="6" t="s">
        <v>16</v>
      </c>
      <c r="I89" s="11"/>
      <c r="J89" s="4"/>
      <c r="K89" s="12"/>
      <c r="L89" s="4"/>
      <c r="M89" s="4"/>
      <c r="N89" s="4"/>
      <c r="O89" s="4"/>
      <c r="P89" s="4"/>
      <c r="Q89" s="4"/>
      <c r="R89" s="4"/>
      <c r="S89" s="4"/>
      <c r="T89" s="4"/>
      <c r="U89" s="4"/>
    </row>
    <row r="90" spans="1:21" ht="15.75" thickBot="1" x14ac:dyDescent="0.3">
      <c r="A90" s="8" t="s">
        <v>105</v>
      </c>
      <c r="B90" s="5">
        <v>337</v>
      </c>
      <c r="C90" s="14" t="s">
        <v>898</v>
      </c>
      <c r="D90" s="5" t="s">
        <v>10</v>
      </c>
      <c r="E90" s="5" t="s">
        <v>11</v>
      </c>
      <c r="F90" s="5" t="s">
        <v>12</v>
      </c>
      <c r="G90" s="5">
        <v>103</v>
      </c>
      <c r="H90" s="5" t="s">
        <v>13</v>
      </c>
      <c r="I90" s="10" t="s">
        <v>106</v>
      </c>
      <c r="J90" s="4"/>
      <c r="K90" s="12">
        <f t="shared" ref="K90:K153" si="128">(C91-C90)*1000</f>
        <v>71.176099999999963</v>
      </c>
      <c r="L90" s="4"/>
      <c r="M90" s="12">
        <f t="shared" ref="M90:M153" si="129">K90-$L$2</f>
        <v>-42.438326500000045</v>
      </c>
      <c r="N90" s="12">
        <f t="shared" ref="N90" si="130">M90^2</f>
        <v>1801.011556120606</v>
      </c>
      <c r="O90" s="4"/>
      <c r="P90" s="4"/>
      <c r="Q90" s="4"/>
      <c r="R90" s="4"/>
      <c r="S90" s="4"/>
      <c r="T90" s="4"/>
      <c r="U90" s="4"/>
    </row>
    <row r="91" spans="1:21" ht="15.75" thickBot="1" x14ac:dyDescent="0.3">
      <c r="A91" s="9"/>
      <c r="B91" s="6">
        <v>356</v>
      </c>
      <c r="C91" s="13" t="s">
        <v>899</v>
      </c>
      <c r="D91" s="6" t="s">
        <v>10</v>
      </c>
      <c r="E91" s="6" t="s">
        <v>11</v>
      </c>
      <c r="F91" s="6" t="s">
        <v>15</v>
      </c>
      <c r="G91" s="6">
        <v>132</v>
      </c>
      <c r="H91" s="6" t="s">
        <v>16</v>
      </c>
      <c r="I91" s="11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</row>
    <row r="92" spans="1:21" ht="15.75" thickBot="1" x14ac:dyDescent="0.3">
      <c r="A92" s="8" t="s">
        <v>107</v>
      </c>
      <c r="B92" s="5">
        <v>281</v>
      </c>
      <c r="C92" s="14" t="s">
        <v>900</v>
      </c>
      <c r="D92" s="5" t="s">
        <v>10</v>
      </c>
      <c r="E92" s="5" t="s">
        <v>11</v>
      </c>
      <c r="F92" s="5" t="s">
        <v>12</v>
      </c>
      <c r="G92" s="5">
        <v>103</v>
      </c>
      <c r="H92" s="5" t="s">
        <v>13</v>
      </c>
      <c r="I92" s="10" t="s">
        <v>108</v>
      </c>
      <c r="J92" s="4"/>
      <c r="K92" s="12">
        <f t="shared" ref="K92:K155" si="131">(C93-C92)*1000</f>
        <v>63.993100000000027</v>
      </c>
      <c r="L92" s="4"/>
      <c r="M92" s="12">
        <f t="shared" ref="M92:M155" si="132">K92-$L$2</f>
        <v>-49.621326499999981</v>
      </c>
      <c r="N92" s="12">
        <f t="shared" ref="N92" si="133">M92^2</f>
        <v>2462.2760436196004</v>
      </c>
      <c r="O92" s="4"/>
      <c r="P92" s="4"/>
      <c r="Q92" s="4"/>
      <c r="R92" s="4"/>
      <c r="S92" s="4"/>
      <c r="T92" s="4"/>
      <c r="U92" s="4"/>
    </row>
    <row r="93" spans="1:21" ht="15.75" thickBot="1" x14ac:dyDescent="0.3">
      <c r="A93" s="9"/>
      <c r="B93" s="6">
        <v>304</v>
      </c>
      <c r="C93" s="13" t="s">
        <v>901</v>
      </c>
      <c r="D93" s="6" t="s">
        <v>10</v>
      </c>
      <c r="E93" s="6" t="s">
        <v>11</v>
      </c>
      <c r="F93" s="6" t="s">
        <v>15</v>
      </c>
      <c r="G93" s="6">
        <v>132</v>
      </c>
      <c r="H93" s="6" t="s">
        <v>16</v>
      </c>
      <c r="I93" s="11"/>
      <c r="J93" s="4"/>
      <c r="K93" s="12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 spans="1:21" ht="15.75" thickBot="1" x14ac:dyDescent="0.3">
      <c r="A94" s="8" t="s">
        <v>109</v>
      </c>
      <c r="B94" s="5">
        <v>304</v>
      </c>
      <c r="C94" s="14" t="s">
        <v>902</v>
      </c>
      <c r="D94" s="5" t="s">
        <v>10</v>
      </c>
      <c r="E94" s="5" t="s">
        <v>11</v>
      </c>
      <c r="F94" s="5" t="s">
        <v>12</v>
      </c>
      <c r="G94" s="5">
        <v>103</v>
      </c>
      <c r="H94" s="5" t="s">
        <v>13</v>
      </c>
      <c r="I94" s="10" t="s">
        <v>110</v>
      </c>
      <c r="J94" s="4"/>
      <c r="K94" s="12">
        <f t="shared" ref="K94:K157" si="134">(C95-C94)*1000</f>
        <v>87.189399999999978</v>
      </c>
      <c r="L94" s="4"/>
      <c r="M94" s="12">
        <f t="shared" ref="M94:M157" si="135">K94-$L$2</f>
        <v>-26.42502650000003</v>
      </c>
      <c r="N94" s="12">
        <f t="shared" ref="N94" si="136">M94^2</f>
        <v>698.28202552570383</v>
      </c>
      <c r="O94" s="4"/>
      <c r="P94" s="4"/>
      <c r="Q94" s="4"/>
      <c r="R94" s="4"/>
      <c r="S94" s="4"/>
      <c r="T94" s="4"/>
      <c r="U94" s="4"/>
    </row>
    <row r="95" spans="1:21" ht="15.75" thickBot="1" x14ac:dyDescent="0.3">
      <c r="A95" s="9"/>
      <c r="B95" s="6">
        <v>331</v>
      </c>
      <c r="C95" s="13" t="s">
        <v>903</v>
      </c>
      <c r="D95" s="6" t="s">
        <v>10</v>
      </c>
      <c r="E95" s="6" t="s">
        <v>11</v>
      </c>
      <c r="F95" s="6" t="s">
        <v>15</v>
      </c>
      <c r="G95" s="6">
        <v>132</v>
      </c>
      <c r="H95" s="6" t="s">
        <v>16</v>
      </c>
      <c r="I95" s="11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</row>
    <row r="96" spans="1:21" ht="15.75" thickBot="1" x14ac:dyDescent="0.3">
      <c r="A96" s="8" t="s">
        <v>111</v>
      </c>
      <c r="B96" s="5">
        <v>307</v>
      </c>
      <c r="C96" s="14" t="s">
        <v>904</v>
      </c>
      <c r="D96" s="5" t="s">
        <v>10</v>
      </c>
      <c r="E96" s="5" t="s">
        <v>11</v>
      </c>
      <c r="F96" s="5" t="s">
        <v>12</v>
      </c>
      <c r="G96" s="5">
        <v>103</v>
      </c>
      <c r="H96" s="5" t="s">
        <v>13</v>
      </c>
      <c r="I96" s="10" t="s">
        <v>112</v>
      </c>
      <c r="J96" s="4"/>
      <c r="K96" s="12">
        <f t="shared" ref="K96:K159" si="137">(C97-C96)*1000</f>
        <v>179.17739999999992</v>
      </c>
      <c r="L96" s="4"/>
      <c r="M96" s="12">
        <f t="shared" ref="M96:M159" si="138">K96-$L$2</f>
        <v>65.562973499999913</v>
      </c>
      <c r="N96" s="12">
        <f t="shared" ref="N96" si="139">M96^2</f>
        <v>4298.5034941616905</v>
      </c>
      <c r="O96" s="4"/>
      <c r="P96" s="4"/>
      <c r="Q96" s="4"/>
      <c r="R96" s="4"/>
      <c r="S96" s="4"/>
      <c r="T96" s="4"/>
      <c r="U96" s="4"/>
    </row>
    <row r="97" spans="1:21" ht="15.75" thickBot="1" x14ac:dyDescent="0.3">
      <c r="A97" s="9"/>
      <c r="B97" s="6">
        <v>354</v>
      </c>
      <c r="C97" s="13" t="s">
        <v>905</v>
      </c>
      <c r="D97" s="6" t="s">
        <v>10</v>
      </c>
      <c r="E97" s="6" t="s">
        <v>11</v>
      </c>
      <c r="F97" s="6" t="s">
        <v>15</v>
      </c>
      <c r="G97" s="6">
        <v>132</v>
      </c>
      <c r="H97" s="6" t="s">
        <v>16</v>
      </c>
      <c r="I97" s="11"/>
      <c r="J97" s="4"/>
      <c r="K97" s="12"/>
      <c r="L97" s="4"/>
      <c r="M97" s="4"/>
      <c r="N97" s="4"/>
      <c r="O97" s="4"/>
      <c r="P97" s="4"/>
      <c r="Q97" s="4"/>
      <c r="R97" s="4"/>
      <c r="S97" s="4"/>
      <c r="T97" s="4"/>
      <c r="U97" s="4"/>
    </row>
    <row r="98" spans="1:21" ht="15.75" thickBot="1" x14ac:dyDescent="0.3">
      <c r="A98" s="8" t="s">
        <v>113</v>
      </c>
      <c r="B98" s="5">
        <v>320</v>
      </c>
      <c r="C98" s="14" t="s">
        <v>906</v>
      </c>
      <c r="D98" s="5" t="s">
        <v>10</v>
      </c>
      <c r="E98" s="5" t="s">
        <v>11</v>
      </c>
      <c r="F98" s="5" t="s">
        <v>12</v>
      </c>
      <c r="G98" s="5">
        <v>103</v>
      </c>
      <c r="H98" s="5" t="s">
        <v>13</v>
      </c>
      <c r="I98" s="10" t="s">
        <v>114</v>
      </c>
      <c r="J98" s="4"/>
      <c r="K98" s="12">
        <f t="shared" ref="K98:K161" si="140">(C99-C98)*1000</f>
        <v>50.856999999999928</v>
      </c>
      <c r="L98" s="4"/>
      <c r="M98" s="12">
        <f t="shared" ref="M98:M161" si="141">K98-$L$2</f>
        <v>-62.757426500000079</v>
      </c>
      <c r="N98" s="12">
        <f t="shared" ref="N98" si="142">M98^2</f>
        <v>3938.4945809029123</v>
      </c>
      <c r="O98" s="4"/>
      <c r="P98" s="4"/>
      <c r="Q98" s="4"/>
      <c r="R98" s="4"/>
      <c r="S98" s="4"/>
      <c r="T98" s="4"/>
      <c r="U98" s="4"/>
    </row>
    <row r="99" spans="1:21" ht="15.75" thickBot="1" x14ac:dyDescent="0.3">
      <c r="A99" s="9"/>
      <c r="B99" s="6">
        <v>338</v>
      </c>
      <c r="C99" s="13" t="s">
        <v>907</v>
      </c>
      <c r="D99" s="6" t="s">
        <v>10</v>
      </c>
      <c r="E99" s="6" t="s">
        <v>11</v>
      </c>
      <c r="F99" s="6" t="s">
        <v>15</v>
      </c>
      <c r="G99" s="6">
        <v>132</v>
      </c>
      <c r="H99" s="6" t="s">
        <v>16</v>
      </c>
      <c r="I99" s="11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</row>
    <row r="100" spans="1:21" ht="15.75" thickBot="1" x14ac:dyDescent="0.3">
      <c r="A100" s="8" t="s">
        <v>115</v>
      </c>
      <c r="B100" s="5">
        <v>277</v>
      </c>
      <c r="C100" s="14" t="s">
        <v>908</v>
      </c>
      <c r="D100" s="5" t="s">
        <v>10</v>
      </c>
      <c r="E100" s="5" t="s">
        <v>11</v>
      </c>
      <c r="F100" s="5" t="s">
        <v>12</v>
      </c>
      <c r="G100" s="5">
        <v>103</v>
      </c>
      <c r="H100" s="5" t="s">
        <v>13</v>
      </c>
      <c r="I100" s="10" t="s">
        <v>116</v>
      </c>
      <c r="J100" s="4"/>
      <c r="K100" s="12">
        <f t="shared" ref="K100:K163" si="143">(C101-C100)*1000</f>
        <v>111.07480000000014</v>
      </c>
      <c r="L100" s="4"/>
      <c r="M100" s="12">
        <f t="shared" ref="M100:M163" si="144">K100-$L$2</f>
        <v>-2.5396264999998692</v>
      </c>
      <c r="N100" s="12">
        <f t="shared" ref="N100" si="145">M100^2</f>
        <v>6.4497027595015854</v>
      </c>
      <c r="O100" s="4"/>
      <c r="P100" s="4"/>
      <c r="Q100" s="4"/>
      <c r="R100" s="4"/>
      <c r="S100" s="4"/>
      <c r="T100" s="4"/>
      <c r="U100" s="4"/>
    </row>
    <row r="101" spans="1:21" ht="15.75" thickBot="1" x14ac:dyDescent="0.3">
      <c r="A101" s="9"/>
      <c r="B101" s="6">
        <v>307</v>
      </c>
      <c r="C101" s="13" t="s">
        <v>909</v>
      </c>
      <c r="D101" s="6" t="s">
        <v>10</v>
      </c>
      <c r="E101" s="6" t="s">
        <v>11</v>
      </c>
      <c r="F101" s="6" t="s">
        <v>15</v>
      </c>
      <c r="G101" s="6">
        <v>132</v>
      </c>
      <c r="H101" s="6" t="s">
        <v>16</v>
      </c>
      <c r="I101" s="11"/>
      <c r="J101" s="4"/>
      <c r="K101" s="12"/>
      <c r="L101" s="4"/>
      <c r="M101" s="4"/>
      <c r="N101" s="4"/>
      <c r="O101" s="4"/>
      <c r="P101" s="4"/>
      <c r="Q101" s="4"/>
      <c r="R101" s="4"/>
      <c r="S101" s="4"/>
      <c r="T101" s="4"/>
      <c r="U101" s="4"/>
    </row>
    <row r="102" spans="1:21" ht="15.75" thickBot="1" x14ac:dyDescent="0.3">
      <c r="A102" s="8" t="s">
        <v>117</v>
      </c>
      <c r="B102" s="5">
        <v>308</v>
      </c>
      <c r="C102" s="14" t="s">
        <v>910</v>
      </c>
      <c r="D102" s="5" t="s">
        <v>10</v>
      </c>
      <c r="E102" s="5" t="s">
        <v>11</v>
      </c>
      <c r="F102" s="5" t="s">
        <v>12</v>
      </c>
      <c r="G102" s="5">
        <v>103</v>
      </c>
      <c r="H102" s="5" t="s">
        <v>13</v>
      </c>
      <c r="I102" s="10" t="s">
        <v>118</v>
      </c>
      <c r="J102" s="4"/>
      <c r="K102" s="12">
        <f t="shared" ref="K102:K165" si="146">(C103-C102)*1000</f>
        <v>61.34950000000017</v>
      </c>
      <c r="L102" s="4"/>
      <c r="M102" s="12">
        <f t="shared" ref="M102:M165" si="147">K102-$L$2</f>
        <v>-52.264926499999838</v>
      </c>
      <c r="N102" s="12">
        <f t="shared" ref="N102" si="148">M102^2</f>
        <v>2731.6225420503852</v>
      </c>
      <c r="O102" s="4"/>
      <c r="P102" s="4"/>
      <c r="Q102" s="4"/>
      <c r="R102" s="4"/>
      <c r="S102" s="4"/>
      <c r="T102" s="4"/>
      <c r="U102" s="4"/>
    </row>
    <row r="103" spans="1:21" ht="15.75" thickBot="1" x14ac:dyDescent="0.3">
      <c r="A103" s="9"/>
      <c r="B103" s="6">
        <v>327</v>
      </c>
      <c r="C103" s="13" t="s">
        <v>911</v>
      </c>
      <c r="D103" s="6" t="s">
        <v>10</v>
      </c>
      <c r="E103" s="6" t="s">
        <v>11</v>
      </c>
      <c r="F103" s="6" t="s">
        <v>15</v>
      </c>
      <c r="G103" s="6">
        <v>132</v>
      </c>
      <c r="H103" s="6" t="s">
        <v>16</v>
      </c>
      <c r="I103" s="11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</row>
    <row r="104" spans="1:21" ht="15.75" thickBot="1" x14ac:dyDescent="0.3">
      <c r="A104" s="8" t="s">
        <v>119</v>
      </c>
      <c r="B104" s="5">
        <v>239</v>
      </c>
      <c r="C104" s="14" t="s">
        <v>912</v>
      </c>
      <c r="D104" s="5" t="s">
        <v>10</v>
      </c>
      <c r="E104" s="5" t="s">
        <v>11</v>
      </c>
      <c r="F104" s="5" t="s">
        <v>12</v>
      </c>
      <c r="G104" s="5">
        <v>103</v>
      </c>
      <c r="H104" s="5" t="s">
        <v>13</v>
      </c>
      <c r="I104" s="10" t="s">
        <v>120</v>
      </c>
      <c r="J104" s="4"/>
      <c r="K104" s="12">
        <f t="shared" ref="K104:K167" si="149">(C105-C104)*1000</f>
        <v>119.72890000000014</v>
      </c>
      <c r="L104" s="4"/>
      <c r="M104" s="12">
        <f t="shared" ref="M104:M167" si="150">K104-$L$2</f>
        <v>6.1144735000001305</v>
      </c>
      <c r="N104" s="12">
        <f t="shared" ref="N104" si="151">M104^2</f>
        <v>37.386786182203842</v>
      </c>
      <c r="O104" s="4"/>
      <c r="P104" s="4"/>
      <c r="Q104" s="4"/>
      <c r="R104" s="4"/>
      <c r="S104" s="4"/>
      <c r="T104" s="4"/>
      <c r="U104" s="4"/>
    </row>
    <row r="105" spans="1:21" ht="15.75" thickBot="1" x14ac:dyDescent="0.3">
      <c r="A105" s="9"/>
      <c r="B105" s="6">
        <v>266</v>
      </c>
      <c r="C105" s="13" t="s">
        <v>913</v>
      </c>
      <c r="D105" s="6" t="s">
        <v>10</v>
      </c>
      <c r="E105" s="6" t="s">
        <v>11</v>
      </c>
      <c r="F105" s="6" t="s">
        <v>15</v>
      </c>
      <c r="G105" s="6">
        <v>132</v>
      </c>
      <c r="H105" s="6" t="s">
        <v>16</v>
      </c>
      <c r="I105" s="11"/>
      <c r="J105" s="4"/>
      <c r="K105" s="12"/>
      <c r="L105" s="4"/>
      <c r="M105" s="4"/>
      <c r="N105" s="4"/>
      <c r="O105" s="4"/>
      <c r="P105" s="4"/>
      <c r="Q105" s="4"/>
      <c r="R105" s="4"/>
      <c r="S105" s="4"/>
      <c r="T105" s="4"/>
      <c r="U105" s="4"/>
    </row>
    <row r="106" spans="1:21" ht="15.75" thickBot="1" x14ac:dyDescent="0.3">
      <c r="A106" s="8" t="s">
        <v>121</v>
      </c>
      <c r="B106" s="5">
        <v>418</v>
      </c>
      <c r="C106" s="14" t="s">
        <v>914</v>
      </c>
      <c r="D106" s="5" t="s">
        <v>10</v>
      </c>
      <c r="E106" s="5" t="s">
        <v>11</v>
      </c>
      <c r="F106" s="5" t="s">
        <v>12</v>
      </c>
      <c r="G106" s="5">
        <v>103</v>
      </c>
      <c r="H106" s="5" t="s">
        <v>13</v>
      </c>
      <c r="I106" s="10" t="s">
        <v>122</v>
      </c>
      <c r="J106" s="4"/>
      <c r="K106" s="12">
        <f t="shared" ref="K106:K169" si="152">(C107-C106)*1000</f>
        <v>140.01419999999999</v>
      </c>
      <c r="L106" s="4"/>
      <c r="M106" s="12">
        <f t="shared" ref="M106:M169" si="153">K106-$L$2</f>
        <v>26.399773499999981</v>
      </c>
      <c r="N106" s="12">
        <f t="shared" ref="N106" si="154">M106^2</f>
        <v>696.94804085130124</v>
      </c>
      <c r="O106" s="4"/>
      <c r="P106" s="4"/>
      <c r="Q106" s="4"/>
      <c r="R106" s="4"/>
      <c r="S106" s="4"/>
      <c r="T106" s="4"/>
      <c r="U106" s="4"/>
    </row>
    <row r="107" spans="1:21" ht="15.75" thickBot="1" x14ac:dyDescent="0.3">
      <c r="A107" s="9"/>
      <c r="B107" s="6">
        <v>453</v>
      </c>
      <c r="C107" s="13" t="s">
        <v>915</v>
      </c>
      <c r="D107" s="6" t="s">
        <v>10</v>
      </c>
      <c r="E107" s="6" t="s">
        <v>11</v>
      </c>
      <c r="F107" s="6" t="s">
        <v>15</v>
      </c>
      <c r="G107" s="6">
        <v>132</v>
      </c>
      <c r="H107" s="6" t="s">
        <v>16</v>
      </c>
      <c r="I107" s="11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</row>
    <row r="108" spans="1:21" ht="15.75" thickBot="1" x14ac:dyDescent="0.3">
      <c r="A108" s="8" t="s">
        <v>123</v>
      </c>
      <c r="B108" s="5">
        <v>239</v>
      </c>
      <c r="C108" s="14" t="s">
        <v>916</v>
      </c>
      <c r="D108" s="5" t="s">
        <v>10</v>
      </c>
      <c r="E108" s="5" t="s">
        <v>11</v>
      </c>
      <c r="F108" s="5" t="s">
        <v>12</v>
      </c>
      <c r="G108" s="5">
        <v>103</v>
      </c>
      <c r="H108" s="5" t="s">
        <v>13</v>
      </c>
      <c r="I108" s="10" t="s">
        <v>124</v>
      </c>
      <c r="J108" s="4"/>
      <c r="K108" s="12">
        <f t="shared" ref="K108:K171" si="155">(C109-C108)*1000</f>
        <v>93.488600000000147</v>
      </c>
      <c r="L108" s="4"/>
      <c r="M108" s="12">
        <f t="shared" ref="M108:M171" si="156">K108-$L$2</f>
        <v>-20.12582649999986</v>
      </c>
      <c r="N108" s="12">
        <f t="shared" ref="N108" si="157">M108^2</f>
        <v>405.04889230809664</v>
      </c>
      <c r="O108" s="4"/>
      <c r="P108" s="4"/>
      <c r="Q108" s="4"/>
      <c r="R108" s="4"/>
      <c r="S108" s="4"/>
      <c r="T108" s="4"/>
      <c r="U108" s="4"/>
    </row>
    <row r="109" spans="1:21" ht="15.75" thickBot="1" x14ac:dyDescent="0.3">
      <c r="A109" s="9"/>
      <c r="B109" s="6">
        <v>265</v>
      </c>
      <c r="C109" s="13" t="s">
        <v>917</v>
      </c>
      <c r="D109" s="6" t="s">
        <v>10</v>
      </c>
      <c r="E109" s="6" t="s">
        <v>11</v>
      </c>
      <c r="F109" s="6" t="s">
        <v>15</v>
      </c>
      <c r="G109" s="6">
        <v>132</v>
      </c>
      <c r="H109" s="6" t="s">
        <v>16</v>
      </c>
      <c r="I109" s="11"/>
      <c r="J109" s="4"/>
      <c r="K109" s="12"/>
      <c r="L109" s="4"/>
      <c r="M109" s="4"/>
      <c r="N109" s="4"/>
      <c r="O109" s="4"/>
      <c r="P109" s="4"/>
      <c r="Q109" s="4"/>
      <c r="R109" s="4"/>
      <c r="S109" s="4"/>
      <c r="T109" s="4"/>
      <c r="U109" s="4"/>
    </row>
    <row r="110" spans="1:21" ht="15.75" thickBot="1" x14ac:dyDescent="0.3">
      <c r="A110" s="8" t="s">
        <v>125</v>
      </c>
      <c r="B110" s="5">
        <v>246</v>
      </c>
      <c r="C110" s="14" t="s">
        <v>918</v>
      </c>
      <c r="D110" s="5" t="s">
        <v>10</v>
      </c>
      <c r="E110" s="5" t="s">
        <v>11</v>
      </c>
      <c r="F110" s="5" t="s">
        <v>12</v>
      </c>
      <c r="G110" s="5">
        <v>103</v>
      </c>
      <c r="H110" s="5" t="s">
        <v>13</v>
      </c>
      <c r="I110" s="10" t="s">
        <v>126</v>
      </c>
      <c r="J110" s="4"/>
      <c r="K110" s="12">
        <f t="shared" ref="K110:K173" si="158">(C111-C110)*1000</f>
        <v>84.05969999999985</v>
      </c>
      <c r="L110" s="4"/>
      <c r="M110" s="12">
        <f t="shared" ref="M110:M173" si="159">K110-$L$2</f>
        <v>-29.554726500000157</v>
      </c>
      <c r="N110" s="12">
        <f t="shared" ref="N110" si="160">M110^2</f>
        <v>873.48185848981154</v>
      </c>
      <c r="O110" s="4"/>
      <c r="P110" s="4"/>
      <c r="Q110" s="4"/>
      <c r="R110" s="4"/>
      <c r="S110" s="4"/>
      <c r="T110" s="4"/>
      <c r="U110" s="4"/>
    </row>
    <row r="111" spans="1:21" ht="15.75" thickBot="1" x14ac:dyDescent="0.3">
      <c r="A111" s="9"/>
      <c r="B111" s="6">
        <v>269</v>
      </c>
      <c r="C111" s="13" t="s">
        <v>919</v>
      </c>
      <c r="D111" s="6" t="s">
        <v>10</v>
      </c>
      <c r="E111" s="6" t="s">
        <v>11</v>
      </c>
      <c r="F111" s="6" t="s">
        <v>15</v>
      </c>
      <c r="G111" s="6">
        <v>128</v>
      </c>
      <c r="H111" s="6" t="s">
        <v>16</v>
      </c>
      <c r="I111" s="11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</row>
    <row r="112" spans="1:21" ht="15.75" thickBot="1" x14ac:dyDescent="0.3">
      <c r="A112" s="8" t="s">
        <v>127</v>
      </c>
      <c r="B112" s="5">
        <v>325</v>
      </c>
      <c r="C112" s="14" t="s">
        <v>920</v>
      </c>
      <c r="D112" s="5" t="s">
        <v>10</v>
      </c>
      <c r="E112" s="5" t="s">
        <v>11</v>
      </c>
      <c r="F112" s="5" t="s">
        <v>12</v>
      </c>
      <c r="G112" s="5">
        <v>103</v>
      </c>
      <c r="H112" s="5" t="s">
        <v>13</v>
      </c>
      <c r="I112" s="10" t="s">
        <v>128</v>
      </c>
      <c r="J112" s="4"/>
      <c r="K112" s="12">
        <f t="shared" ref="K112:K175" si="161">(C113-C112)*1000</f>
        <v>117.99999999999989</v>
      </c>
      <c r="L112" s="4"/>
      <c r="M112" s="12">
        <f t="shared" ref="M112:M175" si="162">K112-$L$2</f>
        <v>4.3855734999998788</v>
      </c>
      <c r="N112" s="12">
        <f t="shared" ref="N112" si="163">M112^2</f>
        <v>19.233254923901185</v>
      </c>
      <c r="O112" s="4"/>
      <c r="P112" s="4"/>
      <c r="Q112" s="4"/>
      <c r="R112" s="4"/>
      <c r="S112" s="4"/>
      <c r="T112" s="4"/>
      <c r="U112" s="4"/>
    </row>
    <row r="113" spans="1:21" ht="15.75" thickBot="1" x14ac:dyDescent="0.3">
      <c r="A113" s="9"/>
      <c r="B113" s="6">
        <v>354</v>
      </c>
      <c r="C113" s="13" t="s">
        <v>921</v>
      </c>
      <c r="D113" s="6" t="s">
        <v>10</v>
      </c>
      <c r="E113" s="6" t="s">
        <v>11</v>
      </c>
      <c r="F113" s="6" t="s">
        <v>15</v>
      </c>
      <c r="G113" s="6">
        <v>132</v>
      </c>
      <c r="H113" s="6" t="s">
        <v>16</v>
      </c>
      <c r="I113" s="11"/>
      <c r="J113" s="4"/>
      <c r="K113" s="12"/>
      <c r="L113" s="4"/>
      <c r="M113" s="4"/>
      <c r="N113" s="4"/>
      <c r="O113" s="4"/>
      <c r="P113" s="4"/>
      <c r="Q113" s="4"/>
      <c r="R113" s="4"/>
      <c r="S113" s="4"/>
      <c r="T113" s="4"/>
      <c r="U113" s="4"/>
    </row>
    <row r="114" spans="1:21" ht="15.75" thickBot="1" x14ac:dyDescent="0.3">
      <c r="A114" s="8" t="s">
        <v>129</v>
      </c>
      <c r="B114" s="5">
        <v>254</v>
      </c>
      <c r="C114" s="14" t="s">
        <v>922</v>
      </c>
      <c r="D114" s="5" t="s">
        <v>10</v>
      </c>
      <c r="E114" s="5" t="s">
        <v>11</v>
      </c>
      <c r="F114" s="5" t="s">
        <v>12</v>
      </c>
      <c r="G114" s="5">
        <v>103</v>
      </c>
      <c r="H114" s="5" t="s">
        <v>13</v>
      </c>
      <c r="I114" s="10" t="s">
        <v>130</v>
      </c>
      <c r="J114" s="4"/>
      <c r="K114" s="12">
        <f t="shared" ref="K114:K177" si="164">(C115-C114)*1000</f>
        <v>149.03370000000015</v>
      </c>
      <c r="L114" s="4"/>
      <c r="M114" s="12">
        <f t="shared" ref="M114:M177" si="165">K114-$L$2</f>
        <v>35.419273500000145</v>
      </c>
      <c r="N114" s="12">
        <f t="shared" ref="N114" si="166">M114^2</f>
        <v>1254.5249352678125</v>
      </c>
      <c r="O114" s="4"/>
      <c r="P114" s="4"/>
      <c r="Q114" s="4"/>
      <c r="R114" s="4"/>
      <c r="S114" s="4"/>
      <c r="T114" s="4"/>
      <c r="U114" s="4"/>
    </row>
    <row r="115" spans="1:21" ht="15.75" thickBot="1" x14ac:dyDescent="0.3">
      <c r="A115" s="9"/>
      <c r="B115" s="6">
        <v>294</v>
      </c>
      <c r="C115" s="13" t="s">
        <v>923</v>
      </c>
      <c r="D115" s="6" t="s">
        <v>10</v>
      </c>
      <c r="E115" s="6" t="s">
        <v>11</v>
      </c>
      <c r="F115" s="6" t="s">
        <v>15</v>
      </c>
      <c r="G115" s="6">
        <v>132</v>
      </c>
      <c r="H115" s="6" t="s">
        <v>16</v>
      </c>
      <c r="I115" s="11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</row>
    <row r="116" spans="1:21" ht="15.75" thickBot="1" x14ac:dyDescent="0.3">
      <c r="A116" s="8" t="s">
        <v>131</v>
      </c>
      <c r="B116" s="5">
        <v>249</v>
      </c>
      <c r="C116" s="14" t="s">
        <v>924</v>
      </c>
      <c r="D116" s="5" t="s">
        <v>10</v>
      </c>
      <c r="E116" s="5" t="s">
        <v>11</v>
      </c>
      <c r="F116" s="5" t="s">
        <v>12</v>
      </c>
      <c r="G116" s="5">
        <v>103</v>
      </c>
      <c r="H116" s="5" t="s">
        <v>13</v>
      </c>
      <c r="I116" s="10" t="s">
        <v>132</v>
      </c>
      <c r="J116" s="4"/>
      <c r="K116" s="12">
        <f t="shared" ref="K116:K179" si="167">(C117-C116)*1000</f>
        <v>51.983200000000011</v>
      </c>
      <c r="L116" s="4"/>
      <c r="M116" s="12">
        <f t="shared" ref="M116:M179" si="168">K116-$L$2</f>
        <v>-61.631226499999997</v>
      </c>
      <c r="N116" s="12">
        <f t="shared" ref="N116" si="169">M116^2</f>
        <v>3798.4080798943019</v>
      </c>
      <c r="O116" s="4"/>
      <c r="P116" s="4"/>
      <c r="Q116" s="4"/>
      <c r="R116" s="4"/>
      <c r="S116" s="4"/>
      <c r="T116" s="4"/>
      <c r="U116" s="4"/>
    </row>
    <row r="117" spans="1:21" ht="15.75" thickBot="1" x14ac:dyDescent="0.3">
      <c r="A117" s="9"/>
      <c r="B117" s="6">
        <v>267</v>
      </c>
      <c r="C117" s="13" t="s">
        <v>926</v>
      </c>
      <c r="D117" s="6" t="s">
        <v>10</v>
      </c>
      <c r="E117" s="6" t="s">
        <v>11</v>
      </c>
      <c r="F117" s="6" t="s">
        <v>15</v>
      </c>
      <c r="G117" s="6">
        <v>132</v>
      </c>
      <c r="H117" s="6" t="s">
        <v>16</v>
      </c>
      <c r="I117" s="11"/>
      <c r="J117" s="4"/>
      <c r="K117" s="12"/>
      <c r="L117" s="4"/>
      <c r="M117" s="4"/>
      <c r="N117" s="4"/>
      <c r="O117" s="4"/>
      <c r="P117" s="4"/>
      <c r="Q117" s="4"/>
      <c r="R117" s="4"/>
      <c r="S117" s="4"/>
      <c r="T117" s="4"/>
      <c r="U117" s="4"/>
    </row>
    <row r="118" spans="1:21" ht="15.75" thickBot="1" x14ac:dyDescent="0.3">
      <c r="A118" s="8" t="s">
        <v>133</v>
      </c>
      <c r="B118" s="5">
        <v>353</v>
      </c>
      <c r="C118" s="14" t="s">
        <v>925</v>
      </c>
      <c r="D118" s="5" t="s">
        <v>10</v>
      </c>
      <c r="E118" s="5" t="s">
        <v>11</v>
      </c>
      <c r="F118" s="5" t="s">
        <v>12</v>
      </c>
      <c r="G118" s="5">
        <v>103</v>
      </c>
      <c r="H118" s="5" t="s">
        <v>13</v>
      </c>
      <c r="I118" s="10" t="s">
        <v>134</v>
      </c>
      <c r="J118" s="4"/>
      <c r="K118" s="12">
        <f t="shared" ref="K118:K181" si="170">(C119-C118)*1000</f>
        <v>71.339999999999961</v>
      </c>
      <c r="L118" s="4"/>
      <c r="M118" s="12">
        <f t="shared" ref="M118:M181" si="171">K118-$L$2</f>
        <v>-42.274426500000047</v>
      </c>
      <c r="N118" s="12">
        <f t="shared" ref="N118" si="172">M118^2</f>
        <v>1787.1271359039063</v>
      </c>
      <c r="O118" s="4"/>
      <c r="P118" s="4"/>
      <c r="Q118" s="4"/>
      <c r="R118" s="4"/>
      <c r="S118" s="4"/>
      <c r="T118" s="4"/>
      <c r="U118" s="4"/>
    </row>
    <row r="119" spans="1:21" ht="15.75" thickBot="1" x14ac:dyDescent="0.3">
      <c r="A119" s="9"/>
      <c r="B119" s="6">
        <v>377</v>
      </c>
      <c r="C119" s="13" t="s">
        <v>927</v>
      </c>
      <c r="D119" s="6" t="s">
        <v>10</v>
      </c>
      <c r="E119" s="6" t="s">
        <v>11</v>
      </c>
      <c r="F119" s="6" t="s">
        <v>15</v>
      </c>
      <c r="G119" s="6">
        <v>132</v>
      </c>
      <c r="H119" s="6" t="s">
        <v>16</v>
      </c>
      <c r="I119" s="11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</row>
    <row r="120" spans="1:21" ht="15.75" thickBot="1" x14ac:dyDescent="0.3">
      <c r="A120" s="8" t="s">
        <v>135</v>
      </c>
      <c r="B120" s="5">
        <v>280</v>
      </c>
      <c r="C120" s="14" t="s">
        <v>928</v>
      </c>
      <c r="D120" s="5" t="s">
        <v>10</v>
      </c>
      <c r="E120" s="5" t="s">
        <v>11</v>
      </c>
      <c r="F120" s="5" t="s">
        <v>12</v>
      </c>
      <c r="G120" s="5">
        <v>103</v>
      </c>
      <c r="H120" s="5" t="s">
        <v>13</v>
      </c>
      <c r="I120" s="10" t="s">
        <v>136</v>
      </c>
      <c r="J120" s="4"/>
      <c r="K120" s="12">
        <f t="shared" ref="K120:K183" si="173">(C121-C120)*1000</f>
        <v>146.10550000000001</v>
      </c>
      <c r="L120" s="4"/>
      <c r="M120" s="12">
        <f t="shared" ref="M120:M183" si="174">K120-$L$2</f>
        <v>32.491073499999999</v>
      </c>
      <c r="N120" s="12">
        <f t="shared" ref="N120" si="175">M120^2</f>
        <v>1055.6698571824022</v>
      </c>
      <c r="O120" s="4"/>
      <c r="P120" s="4"/>
      <c r="Q120" s="4"/>
      <c r="R120" s="4"/>
      <c r="S120" s="4"/>
      <c r="T120" s="4"/>
      <c r="U120" s="4"/>
    </row>
    <row r="121" spans="1:21" ht="15.75" thickBot="1" x14ac:dyDescent="0.3">
      <c r="A121" s="9"/>
      <c r="B121" s="6">
        <v>319</v>
      </c>
      <c r="C121" s="13" t="s">
        <v>929</v>
      </c>
      <c r="D121" s="6" t="s">
        <v>10</v>
      </c>
      <c r="E121" s="6" t="s">
        <v>11</v>
      </c>
      <c r="F121" s="6" t="s">
        <v>15</v>
      </c>
      <c r="G121" s="6">
        <v>132</v>
      </c>
      <c r="H121" s="6" t="s">
        <v>16</v>
      </c>
      <c r="I121" s="11"/>
      <c r="J121" s="4"/>
      <c r="K121" s="12"/>
      <c r="L121" s="4"/>
      <c r="M121" s="4"/>
      <c r="N121" s="4"/>
      <c r="O121" s="4"/>
      <c r="P121" s="4"/>
      <c r="Q121" s="4"/>
      <c r="R121" s="4"/>
      <c r="S121" s="4"/>
      <c r="T121" s="4"/>
      <c r="U121" s="4"/>
    </row>
    <row r="122" spans="1:21" ht="15.75" thickBot="1" x14ac:dyDescent="0.3">
      <c r="A122" s="8" t="s">
        <v>137</v>
      </c>
      <c r="B122" s="5">
        <v>255</v>
      </c>
      <c r="C122" s="14" t="s">
        <v>930</v>
      </c>
      <c r="D122" s="5" t="s">
        <v>10</v>
      </c>
      <c r="E122" s="5" t="s">
        <v>11</v>
      </c>
      <c r="F122" s="5" t="s">
        <v>12</v>
      </c>
      <c r="G122" s="5">
        <v>103</v>
      </c>
      <c r="H122" s="5" t="s">
        <v>13</v>
      </c>
      <c r="I122" s="10" t="s">
        <v>138</v>
      </c>
      <c r="J122" s="4"/>
      <c r="K122" s="12">
        <f t="shared" ref="K122:K185" si="176">(C123-C122)*1000</f>
        <v>47.581799999999895</v>
      </c>
      <c r="L122" s="4"/>
      <c r="M122" s="12">
        <f t="shared" ref="M122:M185" si="177">K122-$L$2</f>
        <v>-66.032626500000106</v>
      </c>
      <c r="N122" s="12">
        <f t="shared" ref="N122" si="178">M122^2</f>
        <v>4360.3077624885163</v>
      </c>
      <c r="O122" s="4"/>
      <c r="P122" s="4"/>
      <c r="Q122" s="4"/>
      <c r="R122" s="4"/>
      <c r="S122" s="4"/>
      <c r="T122" s="4"/>
      <c r="U122" s="4"/>
    </row>
    <row r="123" spans="1:21" ht="15.75" thickBot="1" x14ac:dyDescent="0.3">
      <c r="A123" s="9"/>
      <c r="B123" s="6">
        <v>273</v>
      </c>
      <c r="C123" s="13" t="s">
        <v>931</v>
      </c>
      <c r="D123" s="6" t="s">
        <v>10</v>
      </c>
      <c r="E123" s="6" t="s">
        <v>11</v>
      </c>
      <c r="F123" s="6" t="s">
        <v>15</v>
      </c>
      <c r="G123" s="6">
        <v>132</v>
      </c>
      <c r="H123" s="6" t="s">
        <v>16</v>
      </c>
      <c r="I123" s="11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</row>
    <row r="124" spans="1:21" ht="15.75" thickBot="1" x14ac:dyDescent="0.3">
      <c r="A124" s="8" t="s">
        <v>139</v>
      </c>
      <c r="B124" s="5">
        <v>249</v>
      </c>
      <c r="C124" s="14" t="s">
        <v>932</v>
      </c>
      <c r="D124" s="5" t="s">
        <v>10</v>
      </c>
      <c r="E124" s="5" t="s">
        <v>11</v>
      </c>
      <c r="F124" s="5" t="s">
        <v>12</v>
      </c>
      <c r="G124" s="5">
        <v>103</v>
      </c>
      <c r="H124" s="5" t="s">
        <v>13</v>
      </c>
      <c r="I124" s="10" t="s">
        <v>140</v>
      </c>
      <c r="J124" s="4"/>
      <c r="K124" s="12">
        <f t="shared" ref="K124:K187" si="179">(C125-C124)*1000</f>
        <v>88.473699999999994</v>
      </c>
      <c r="L124" s="4"/>
      <c r="M124" s="12">
        <f t="shared" ref="M124:M187" si="180">K124-$L$2</f>
        <v>-25.140726500000014</v>
      </c>
      <c r="N124" s="12">
        <f t="shared" ref="N124" si="181">M124^2</f>
        <v>632.0561289478029</v>
      </c>
      <c r="O124" s="4"/>
      <c r="P124" s="4"/>
      <c r="Q124" s="4"/>
      <c r="R124" s="4"/>
      <c r="S124" s="4"/>
      <c r="T124" s="4"/>
      <c r="U124" s="4"/>
    </row>
    <row r="125" spans="1:21" ht="15.75" thickBot="1" x14ac:dyDescent="0.3">
      <c r="A125" s="9"/>
      <c r="B125" s="6">
        <v>273</v>
      </c>
      <c r="C125" s="13" t="s">
        <v>933</v>
      </c>
      <c r="D125" s="6" t="s">
        <v>10</v>
      </c>
      <c r="E125" s="6" t="s">
        <v>11</v>
      </c>
      <c r="F125" s="6" t="s">
        <v>15</v>
      </c>
      <c r="G125" s="6">
        <v>132</v>
      </c>
      <c r="H125" s="6" t="s">
        <v>16</v>
      </c>
      <c r="I125" s="11"/>
      <c r="J125" s="4"/>
      <c r="K125" s="12"/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 spans="1:21" ht="15.75" thickBot="1" x14ac:dyDescent="0.3">
      <c r="A126" s="8" t="s">
        <v>141</v>
      </c>
      <c r="B126" s="5">
        <v>261</v>
      </c>
      <c r="C126" s="14" t="s">
        <v>934</v>
      </c>
      <c r="D126" s="5" t="s">
        <v>10</v>
      </c>
      <c r="E126" s="5" t="s">
        <v>11</v>
      </c>
      <c r="F126" s="5" t="s">
        <v>12</v>
      </c>
      <c r="G126" s="5">
        <v>103</v>
      </c>
      <c r="H126" s="5" t="s">
        <v>13</v>
      </c>
      <c r="I126" s="10" t="s">
        <v>142</v>
      </c>
      <c r="J126" s="4"/>
      <c r="K126" s="12">
        <f t="shared" ref="K126:K189" si="182">(C127-C126)*1000</f>
        <v>144.71759999999989</v>
      </c>
      <c r="L126" s="4"/>
      <c r="M126" s="12">
        <f t="shared" ref="M126:M189" si="183">K126-$L$2</f>
        <v>31.103173499999883</v>
      </c>
      <c r="N126" s="12">
        <f t="shared" ref="N126" si="184">M126^2</f>
        <v>967.40740177109501</v>
      </c>
      <c r="O126" s="4"/>
      <c r="P126" s="4"/>
      <c r="Q126" s="4"/>
      <c r="R126" s="4"/>
      <c r="S126" s="4"/>
      <c r="T126" s="4"/>
      <c r="U126" s="4"/>
    </row>
    <row r="127" spans="1:21" ht="15.75" thickBot="1" x14ac:dyDescent="0.3">
      <c r="A127" s="9"/>
      <c r="B127" s="6">
        <v>301</v>
      </c>
      <c r="C127" s="13" t="s">
        <v>935</v>
      </c>
      <c r="D127" s="6" t="s">
        <v>10</v>
      </c>
      <c r="E127" s="6" t="s">
        <v>11</v>
      </c>
      <c r="F127" s="6" t="s">
        <v>15</v>
      </c>
      <c r="G127" s="6">
        <v>132</v>
      </c>
      <c r="H127" s="6" t="s">
        <v>16</v>
      </c>
      <c r="I127" s="11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</row>
    <row r="128" spans="1:21" ht="15.75" thickBot="1" x14ac:dyDescent="0.3">
      <c r="A128" s="8" t="s">
        <v>143</v>
      </c>
      <c r="B128" s="5">
        <v>305</v>
      </c>
      <c r="C128" s="14" t="s">
        <v>936</v>
      </c>
      <c r="D128" s="5" t="s">
        <v>10</v>
      </c>
      <c r="E128" s="5" t="s">
        <v>11</v>
      </c>
      <c r="F128" s="5" t="s">
        <v>12</v>
      </c>
      <c r="G128" s="5">
        <v>103</v>
      </c>
      <c r="H128" s="5" t="s">
        <v>13</v>
      </c>
      <c r="I128" s="10" t="s">
        <v>144</v>
      </c>
      <c r="J128" s="4"/>
      <c r="K128" s="12">
        <f t="shared" ref="K128:K191" si="185">(C129-C128)*1000</f>
        <v>102.69159999999999</v>
      </c>
      <c r="L128" s="4"/>
      <c r="M128" s="12">
        <f t="shared" ref="M128:M191" si="186">K128-$L$2</f>
        <v>-10.922826500000014</v>
      </c>
      <c r="N128" s="12">
        <f t="shared" ref="N128" si="187">M128^2</f>
        <v>119.30813874910254</v>
      </c>
      <c r="O128" s="4"/>
      <c r="P128" s="4"/>
      <c r="Q128" s="4"/>
      <c r="R128" s="4"/>
      <c r="S128" s="4"/>
      <c r="T128" s="4"/>
      <c r="U128" s="4"/>
    </row>
    <row r="129" spans="1:21" ht="15.75" thickBot="1" x14ac:dyDescent="0.3">
      <c r="A129" s="9"/>
      <c r="B129" s="6">
        <v>335</v>
      </c>
      <c r="C129" s="13" t="s">
        <v>937</v>
      </c>
      <c r="D129" s="6" t="s">
        <v>10</v>
      </c>
      <c r="E129" s="6" t="s">
        <v>11</v>
      </c>
      <c r="F129" s="6" t="s">
        <v>15</v>
      </c>
      <c r="G129" s="6">
        <v>132</v>
      </c>
      <c r="H129" s="6" t="s">
        <v>16</v>
      </c>
      <c r="I129" s="11"/>
      <c r="J129" s="4"/>
      <c r="K129" s="12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 spans="1:21" ht="15.75" thickBot="1" x14ac:dyDescent="0.3">
      <c r="A130" s="8" t="s">
        <v>145</v>
      </c>
      <c r="B130" s="5">
        <v>261</v>
      </c>
      <c r="C130" s="14" t="s">
        <v>938</v>
      </c>
      <c r="D130" s="5" t="s">
        <v>10</v>
      </c>
      <c r="E130" s="5" t="s">
        <v>11</v>
      </c>
      <c r="F130" s="5" t="s">
        <v>12</v>
      </c>
      <c r="G130" s="5">
        <v>103</v>
      </c>
      <c r="H130" s="5" t="s">
        <v>13</v>
      </c>
      <c r="I130" s="10" t="s">
        <v>146</v>
      </c>
      <c r="J130" s="4"/>
      <c r="K130" s="12">
        <f t="shared" ref="K130:K193" si="188">(C131-C130)*1000</f>
        <v>108.1236000000001</v>
      </c>
      <c r="L130" s="4"/>
      <c r="M130" s="12">
        <f t="shared" ref="M130:M193" si="189">K130-$L$2</f>
        <v>-5.4908264999999119</v>
      </c>
      <c r="N130" s="12">
        <f t="shared" ref="N130" si="190">M130^2</f>
        <v>30.149175653101281</v>
      </c>
      <c r="O130" s="4"/>
      <c r="P130" s="4"/>
      <c r="Q130" s="4"/>
      <c r="R130" s="4"/>
      <c r="S130" s="4"/>
      <c r="T130" s="4"/>
      <c r="U130" s="4"/>
    </row>
    <row r="131" spans="1:21" ht="15.75" thickBot="1" x14ac:dyDescent="0.3">
      <c r="A131" s="9"/>
      <c r="B131" s="6">
        <v>291</v>
      </c>
      <c r="C131" s="13" t="s">
        <v>939</v>
      </c>
      <c r="D131" s="6" t="s">
        <v>10</v>
      </c>
      <c r="E131" s="6" t="s">
        <v>11</v>
      </c>
      <c r="F131" s="6" t="s">
        <v>15</v>
      </c>
      <c r="G131" s="6">
        <v>132</v>
      </c>
      <c r="H131" s="6" t="s">
        <v>16</v>
      </c>
      <c r="I131" s="11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</row>
    <row r="132" spans="1:21" ht="15.75" thickBot="1" x14ac:dyDescent="0.3">
      <c r="A132" s="8" t="s">
        <v>147</v>
      </c>
      <c r="B132" s="5">
        <v>297</v>
      </c>
      <c r="C132" s="14" t="s">
        <v>940</v>
      </c>
      <c r="D132" s="5" t="s">
        <v>10</v>
      </c>
      <c r="E132" s="5" t="s">
        <v>11</v>
      </c>
      <c r="F132" s="5" t="s">
        <v>12</v>
      </c>
      <c r="G132" s="5">
        <v>103</v>
      </c>
      <c r="H132" s="5" t="s">
        <v>13</v>
      </c>
      <c r="I132" s="10" t="s">
        <v>148</v>
      </c>
      <c r="J132" s="4"/>
      <c r="K132" s="12">
        <f t="shared" ref="K132:K195" si="191">(C133-C132)*1000</f>
        <v>114.87179999999996</v>
      </c>
      <c r="L132" s="4"/>
      <c r="M132" s="12">
        <f t="shared" ref="M132:M195" si="192">K132-$L$2</f>
        <v>1.2573734999999573</v>
      </c>
      <c r="N132" s="12">
        <f t="shared" ref="N132" si="193">M132^2</f>
        <v>1.5809881185021426</v>
      </c>
      <c r="O132" s="4"/>
      <c r="P132" s="4"/>
      <c r="Q132" s="4"/>
      <c r="R132" s="4"/>
      <c r="S132" s="4"/>
      <c r="T132" s="4"/>
      <c r="U132" s="4"/>
    </row>
    <row r="133" spans="1:21" ht="15.75" thickBot="1" x14ac:dyDescent="0.3">
      <c r="A133" s="9"/>
      <c r="B133" s="6">
        <v>325</v>
      </c>
      <c r="C133" s="13" t="s">
        <v>941</v>
      </c>
      <c r="D133" s="6" t="s">
        <v>10</v>
      </c>
      <c r="E133" s="6" t="s">
        <v>11</v>
      </c>
      <c r="F133" s="6" t="s">
        <v>15</v>
      </c>
      <c r="G133" s="6">
        <v>132</v>
      </c>
      <c r="H133" s="6" t="s">
        <v>16</v>
      </c>
      <c r="I133" s="11"/>
      <c r="J133" s="4"/>
      <c r="K133" s="12"/>
      <c r="L133" s="4"/>
      <c r="M133" s="4"/>
      <c r="N133" s="4"/>
      <c r="O133" s="4"/>
      <c r="P133" s="4"/>
      <c r="Q133" s="4"/>
      <c r="R133" s="4"/>
      <c r="S133" s="4"/>
      <c r="T133" s="4"/>
      <c r="U133" s="4"/>
    </row>
    <row r="134" spans="1:21" ht="15.75" thickBot="1" x14ac:dyDescent="0.3">
      <c r="A134" s="8" t="s">
        <v>149</v>
      </c>
      <c r="B134" s="5">
        <v>244</v>
      </c>
      <c r="C134" s="14" t="s">
        <v>942</v>
      </c>
      <c r="D134" s="5" t="s">
        <v>10</v>
      </c>
      <c r="E134" s="5" t="s">
        <v>11</v>
      </c>
      <c r="F134" s="5" t="s">
        <v>12</v>
      </c>
      <c r="G134" s="5">
        <v>103</v>
      </c>
      <c r="H134" s="5" t="s">
        <v>13</v>
      </c>
      <c r="I134" s="10" t="s">
        <v>150</v>
      </c>
      <c r="J134" s="4"/>
      <c r="K134" s="12">
        <f t="shared" ref="K134:K197" si="194">(C135-C134)*1000</f>
        <v>98.797999999999945</v>
      </c>
      <c r="L134" s="4"/>
      <c r="M134" s="12">
        <f t="shared" ref="M134:M197" si="195">K134-$L$2</f>
        <v>-14.816426500000063</v>
      </c>
      <c r="N134" s="12">
        <f t="shared" ref="N134" si="196">M134^2</f>
        <v>219.5264942299041</v>
      </c>
      <c r="O134" s="4"/>
      <c r="P134" s="4"/>
      <c r="Q134" s="4"/>
      <c r="R134" s="4"/>
      <c r="S134" s="4"/>
      <c r="T134" s="4"/>
      <c r="U134" s="4"/>
    </row>
    <row r="135" spans="1:21" ht="15.75" thickBot="1" x14ac:dyDescent="0.3">
      <c r="A135" s="9"/>
      <c r="B135" s="6">
        <v>270</v>
      </c>
      <c r="C135" s="13" t="s">
        <v>943</v>
      </c>
      <c r="D135" s="6" t="s">
        <v>10</v>
      </c>
      <c r="E135" s="6" t="s">
        <v>11</v>
      </c>
      <c r="F135" s="6" t="s">
        <v>15</v>
      </c>
      <c r="G135" s="6">
        <v>132</v>
      </c>
      <c r="H135" s="6" t="s">
        <v>16</v>
      </c>
      <c r="I135" s="11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</row>
    <row r="136" spans="1:21" ht="15.75" thickBot="1" x14ac:dyDescent="0.3">
      <c r="A136" s="8" t="s">
        <v>151</v>
      </c>
      <c r="B136" s="5">
        <v>343</v>
      </c>
      <c r="C136" s="14" t="s">
        <v>944</v>
      </c>
      <c r="D136" s="5" t="s">
        <v>10</v>
      </c>
      <c r="E136" s="5" t="s">
        <v>11</v>
      </c>
      <c r="F136" s="5" t="s">
        <v>12</v>
      </c>
      <c r="G136" s="5">
        <v>103</v>
      </c>
      <c r="H136" s="5" t="s">
        <v>13</v>
      </c>
      <c r="I136" s="10" t="s">
        <v>152</v>
      </c>
      <c r="J136" s="4"/>
      <c r="K136" s="12">
        <f t="shared" ref="K136:K199" si="197">(C137-C136)*1000</f>
        <v>148.72289999999987</v>
      </c>
      <c r="L136" s="4"/>
      <c r="M136" s="12">
        <f t="shared" ref="M136:M199" si="198">K136-$L$2</f>
        <v>35.10847349999986</v>
      </c>
      <c r="N136" s="12">
        <f t="shared" ref="N136" si="199">M136^2</f>
        <v>1232.6049115001924</v>
      </c>
      <c r="O136" s="4"/>
      <c r="P136" s="4"/>
      <c r="Q136" s="4"/>
      <c r="R136" s="4"/>
      <c r="S136" s="4"/>
      <c r="T136" s="4"/>
      <c r="U136" s="4"/>
    </row>
    <row r="137" spans="1:21" ht="15.75" thickBot="1" x14ac:dyDescent="0.3">
      <c r="A137" s="9"/>
      <c r="B137" s="6">
        <v>379</v>
      </c>
      <c r="C137" s="13" t="s">
        <v>945</v>
      </c>
      <c r="D137" s="6" t="s">
        <v>10</v>
      </c>
      <c r="E137" s="6" t="s">
        <v>11</v>
      </c>
      <c r="F137" s="6" t="s">
        <v>15</v>
      </c>
      <c r="G137" s="6">
        <v>132</v>
      </c>
      <c r="H137" s="6" t="s">
        <v>16</v>
      </c>
      <c r="I137" s="11"/>
      <c r="J137" s="4"/>
      <c r="K137" s="12"/>
      <c r="L137" s="4"/>
      <c r="M137" s="4"/>
      <c r="N137" s="4"/>
      <c r="O137" s="4"/>
      <c r="P137" s="4"/>
      <c r="Q137" s="4"/>
      <c r="R137" s="4"/>
      <c r="S137" s="4"/>
      <c r="T137" s="4"/>
      <c r="U137" s="4"/>
    </row>
    <row r="138" spans="1:21" ht="15.75" thickBot="1" x14ac:dyDescent="0.3">
      <c r="A138" s="8" t="s">
        <v>153</v>
      </c>
      <c r="B138" s="5">
        <v>220</v>
      </c>
      <c r="C138" s="14" t="s">
        <v>946</v>
      </c>
      <c r="D138" s="5" t="s">
        <v>10</v>
      </c>
      <c r="E138" s="5" t="s">
        <v>11</v>
      </c>
      <c r="F138" s="5" t="s">
        <v>12</v>
      </c>
      <c r="G138" s="5">
        <v>103</v>
      </c>
      <c r="H138" s="5" t="s">
        <v>13</v>
      </c>
      <c r="I138" s="10" t="s">
        <v>154</v>
      </c>
      <c r="J138" s="4"/>
      <c r="K138" s="12">
        <f t="shared" ref="K138:K201" si="200">(C139-C138)*1000</f>
        <v>144.49519999999993</v>
      </c>
      <c r="L138" s="4"/>
      <c r="M138" s="12">
        <f t="shared" ref="M138:M201" si="201">K138-$L$2</f>
        <v>30.880773499999918</v>
      </c>
      <c r="N138" s="12">
        <f t="shared" ref="N138" si="202">M138^2</f>
        <v>953.62217195829726</v>
      </c>
      <c r="O138" s="4"/>
      <c r="P138" s="4"/>
      <c r="Q138" s="4"/>
      <c r="R138" s="4"/>
      <c r="S138" s="4"/>
      <c r="T138" s="4"/>
      <c r="U138" s="4"/>
    </row>
    <row r="139" spans="1:21" ht="15.75" thickBot="1" x14ac:dyDescent="0.3">
      <c r="A139" s="9"/>
      <c r="B139" s="6">
        <v>257</v>
      </c>
      <c r="C139" s="13" t="s">
        <v>947</v>
      </c>
      <c r="D139" s="6" t="s">
        <v>10</v>
      </c>
      <c r="E139" s="6" t="s">
        <v>11</v>
      </c>
      <c r="F139" s="6" t="s">
        <v>15</v>
      </c>
      <c r="G139" s="6">
        <v>132</v>
      </c>
      <c r="H139" s="6" t="s">
        <v>16</v>
      </c>
      <c r="I139" s="11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</row>
    <row r="140" spans="1:21" ht="15.75" thickBot="1" x14ac:dyDescent="0.3">
      <c r="A140" s="8" t="s">
        <v>155</v>
      </c>
      <c r="B140" s="5">
        <v>225</v>
      </c>
      <c r="C140" s="14" t="s">
        <v>948</v>
      </c>
      <c r="D140" s="5" t="s">
        <v>10</v>
      </c>
      <c r="E140" s="5" t="s">
        <v>11</v>
      </c>
      <c r="F140" s="5" t="s">
        <v>12</v>
      </c>
      <c r="G140" s="5">
        <v>103</v>
      </c>
      <c r="H140" s="5" t="s">
        <v>13</v>
      </c>
      <c r="I140" s="10" t="s">
        <v>156</v>
      </c>
      <c r="J140" s="4"/>
      <c r="K140" s="12">
        <f t="shared" ref="K140:K203" si="203">(C141-C140)*1000</f>
        <v>62.730900000000034</v>
      </c>
      <c r="L140" s="4"/>
      <c r="M140" s="12">
        <f t="shared" ref="M140:M203" si="204">K140-$L$2</f>
        <v>-50.883526499999974</v>
      </c>
      <c r="N140" s="12">
        <f t="shared" ref="N140" si="205">M140^2</f>
        <v>2589.1332690761997</v>
      </c>
      <c r="O140" s="4"/>
      <c r="P140" s="4"/>
      <c r="Q140" s="4"/>
      <c r="R140" s="4"/>
      <c r="S140" s="4"/>
      <c r="T140" s="4"/>
      <c r="U140" s="4"/>
    </row>
    <row r="141" spans="1:21" ht="15.75" thickBot="1" x14ac:dyDescent="0.3">
      <c r="A141" s="9"/>
      <c r="B141" s="6">
        <v>244</v>
      </c>
      <c r="C141" s="13" t="s">
        <v>949</v>
      </c>
      <c r="D141" s="6" t="s">
        <v>10</v>
      </c>
      <c r="E141" s="6" t="s">
        <v>11</v>
      </c>
      <c r="F141" s="6" t="s">
        <v>15</v>
      </c>
      <c r="G141" s="6">
        <v>132</v>
      </c>
      <c r="H141" s="6" t="s">
        <v>16</v>
      </c>
      <c r="I141" s="11"/>
      <c r="J141" s="4"/>
      <c r="K141" s="12"/>
      <c r="L141" s="4"/>
      <c r="M141" s="4"/>
      <c r="N141" s="4"/>
      <c r="O141" s="4"/>
      <c r="P141" s="4"/>
      <c r="Q141" s="4"/>
      <c r="R141" s="4"/>
      <c r="S141" s="4"/>
      <c r="T141" s="4"/>
      <c r="U141" s="4"/>
    </row>
    <row r="142" spans="1:21" ht="15.75" thickBot="1" x14ac:dyDescent="0.3">
      <c r="A142" s="8" t="s">
        <v>157</v>
      </c>
      <c r="B142" s="5">
        <v>260</v>
      </c>
      <c r="C142" s="14" t="s">
        <v>950</v>
      </c>
      <c r="D142" s="5" t="s">
        <v>10</v>
      </c>
      <c r="E142" s="5" t="s">
        <v>11</v>
      </c>
      <c r="F142" s="5" t="s">
        <v>12</v>
      </c>
      <c r="G142" s="5">
        <v>103</v>
      </c>
      <c r="H142" s="5" t="s">
        <v>13</v>
      </c>
      <c r="I142" s="10" t="s">
        <v>158</v>
      </c>
      <c r="J142" s="4"/>
      <c r="K142" s="12">
        <f t="shared" ref="K142:K205" si="206">(C143-C142)*1000</f>
        <v>56.337799999999881</v>
      </c>
      <c r="L142" s="4"/>
      <c r="M142" s="12">
        <f t="shared" ref="M142:M205" si="207">K142-$L$2</f>
        <v>-57.276626500000127</v>
      </c>
      <c r="N142" s="12">
        <f t="shared" ref="N142" si="208">M142^2</f>
        <v>3280.6119432205169</v>
      </c>
      <c r="O142" s="4"/>
      <c r="P142" s="4"/>
      <c r="Q142" s="4"/>
      <c r="R142" s="4"/>
      <c r="S142" s="4"/>
      <c r="T142" s="4"/>
      <c r="U142" s="4"/>
    </row>
    <row r="143" spans="1:21" ht="15.75" thickBot="1" x14ac:dyDescent="0.3">
      <c r="A143" s="9"/>
      <c r="B143" s="6">
        <v>281</v>
      </c>
      <c r="C143" s="13" t="s">
        <v>951</v>
      </c>
      <c r="D143" s="6" t="s">
        <v>10</v>
      </c>
      <c r="E143" s="6" t="s">
        <v>11</v>
      </c>
      <c r="F143" s="6" t="s">
        <v>15</v>
      </c>
      <c r="G143" s="6">
        <v>132</v>
      </c>
      <c r="H143" s="6" t="s">
        <v>16</v>
      </c>
      <c r="I143" s="11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</row>
    <row r="144" spans="1:21" ht="15.75" thickBot="1" x14ac:dyDescent="0.3">
      <c r="A144" s="8" t="s">
        <v>159</v>
      </c>
      <c r="B144" s="5">
        <v>254</v>
      </c>
      <c r="C144" s="14" t="s">
        <v>952</v>
      </c>
      <c r="D144" s="5" t="s">
        <v>10</v>
      </c>
      <c r="E144" s="5" t="s">
        <v>11</v>
      </c>
      <c r="F144" s="5" t="s">
        <v>12</v>
      </c>
      <c r="G144" s="5">
        <v>103</v>
      </c>
      <c r="H144" s="5" t="s">
        <v>13</v>
      </c>
      <c r="I144" s="10" t="s">
        <v>160</v>
      </c>
      <c r="J144" s="4"/>
      <c r="K144" s="12">
        <f t="shared" ref="K144:K207" si="209">(C145-C144)*1000</f>
        <v>171.09049999999982</v>
      </c>
      <c r="L144" s="4"/>
      <c r="M144" s="12">
        <f t="shared" ref="M144:M207" si="210">K144-$L$2</f>
        <v>57.476073499999814</v>
      </c>
      <c r="N144" s="12">
        <f t="shared" ref="N144" si="211">M144^2</f>
        <v>3303.4990249773809</v>
      </c>
      <c r="O144" s="4"/>
      <c r="P144" s="4"/>
      <c r="Q144" s="4"/>
      <c r="R144" s="4"/>
      <c r="S144" s="4"/>
      <c r="T144" s="4"/>
      <c r="U144" s="4"/>
    </row>
    <row r="145" spans="1:21" ht="15.75" thickBot="1" x14ac:dyDescent="0.3">
      <c r="A145" s="9"/>
      <c r="B145" s="6">
        <v>295</v>
      </c>
      <c r="C145" s="13" t="s">
        <v>953</v>
      </c>
      <c r="D145" s="6" t="s">
        <v>10</v>
      </c>
      <c r="E145" s="6" t="s">
        <v>11</v>
      </c>
      <c r="F145" s="6" t="s">
        <v>15</v>
      </c>
      <c r="G145" s="6">
        <v>132</v>
      </c>
      <c r="H145" s="6" t="s">
        <v>16</v>
      </c>
      <c r="I145" s="11"/>
      <c r="J145" s="4"/>
      <c r="K145" s="12"/>
      <c r="L145" s="4"/>
      <c r="M145" s="4"/>
      <c r="N145" s="4"/>
      <c r="O145" s="4"/>
      <c r="P145" s="4"/>
      <c r="Q145" s="4"/>
      <c r="R145" s="4"/>
      <c r="S145" s="4"/>
      <c r="T145" s="4"/>
      <c r="U145" s="4"/>
    </row>
    <row r="146" spans="1:21" ht="15.75" thickBot="1" x14ac:dyDescent="0.3">
      <c r="A146" s="8" t="s">
        <v>161</v>
      </c>
      <c r="B146" s="5">
        <v>230</v>
      </c>
      <c r="C146" s="14" t="s">
        <v>954</v>
      </c>
      <c r="D146" s="5" t="s">
        <v>10</v>
      </c>
      <c r="E146" s="5" t="s">
        <v>11</v>
      </c>
      <c r="F146" s="5" t="s">
        <v>12</v>
      </c>
      <c r="G146" s="5">
        <v>103</v>
      </c>
      <c r="H146" s="5" t="s">
        <v>13</v>
      </c>
      <c r="I146" s="10" t="s">
        <v>162</v>
      </c>
      <c r="J146" s="4"/>
      <c r="K146" s="12">
        <f t="shared" ref="K146:K209" si="212">(C147-C146)*1000</f>
        <v>180.95189999999994</v>
      </c>
      <c r="L146" s="4"/>
      <c r="M146" s="12">
        <f t="shared" ref="M146:M209" si="213">K146-$L$2</f>
        <v>67.33747349999993</v>
      </c>
      <c r="N146" s="12">
        <f t="shared" ref="N146" si="214">M146^2</f>
        <v>4534.3353373631926</v>
      </c>
      <c r="O146" s="4"/>
      <c r="P146" s="4"/>
      <c r="Q146" s="4"/>
      <c r="R146" s="4"/>
      <c r="S146" s="4"/>
      <c r="T146" s="4"/>
      <c r="U146" s="4"/>
    </row>
    <row r="147" spans="1:21" ht="15.75" thickBot="1" x14ac:dyDescent="0.3">
      <c r="A147" s="9"/>
      <c r="B147" s="6">
        <v>279</v>
      </c>
      <c r="C147" s="13" t="s">
        <v>955</v>
      </c>
      <c r="D147" s="6" t="s">
        <v>10</v>
      </c>
      <c r="E147" s="6" t="s">
        <v>11</v>
      </c>
      <c r="F147" s="6" t="s">
        <v>15</v>
      </c>
      <c r="G147" s="6">
        <v>132</v>
      </c>
      <c r="H147" s="6" t="s">
        <v>16</v>
      </c>
      <c r="I147" s="11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</row>
    <row r="148" spans="1:21" ht="15.75" thickBot="1" x14ac:dyDescent="0.3">
      <c r="A148" s="8" t="s">
        <v>163</v>
      </c>
      <c r="B148" s="5">
        <v>264</v>
      </c>
      <c r="C148" s="14" t="s">
        <v>956</v>
      </c>
      <c r="D148" s="5" t="s">
        <v>10</v>
      </c>
      <c r="E148" s="5" t="s">
        <v>11</v>
      </c>
      <c r="F148" s="5" t="s">
        <v>12</v>
      </c>
      <c r="G148" s="5">
        <v>103</v>
      </c>
      <c r="H148" s="5" t="s">
        <v>13</v>
      </c>
      <c r="I148" s="10" t="s">
        <v>164</v>
      </c>
      <c r="J148" s="4"/>
      <c r="K148" s="12">
        <f t="shared" ref="K148:K211" si="215">(C149-C148)*1000</f>
        <v>138.64199999999994</v>
      </c>
      <c r="L148" s="4"/>
      <c r="M148" s="12">
        <f t="shared" ref="M148:M211" si="216">K148-$L$2</f>
        <v>25.027573499999932</v>
      </c>
      <c r="N148" s="12">
        <f t="shared" ref="N148" si="217">M148^2</f>
        <v>626.37943529789879</v>
      </c>
      <c r="O148" s="4"/>
      <c r="P148" s="4"/>
      <c r="Q148" s="4"/>
      <c r="R148" s="4"/>
      <c r="S148" s="4"/>
      <c r="T148" s="4"/>
      <c r="U148" s="4"/>
    </row>
    <row r="149" spans="1:21" ht="15.75" thickBot="1" x14ac:dyDescent="0.3">
      <c r="A149" s="9"/>
      <c r="B149" s="6">
        <v>315</v>
      </c>
      <c r="C149" s="13" t="s">
        <v>957</v>
      </c>
      <c r="D149" s="6" t="s">
        <v>10</v>
      </c>
      <c r="E149" s="6" t="s">
        <v>11</v>
      </c>
      <c r="F149" s="6" t="s">
        <v>15</v>
      </c>
      <c r="G149" s="6">
        <v>132</v>
      </c>
      <c r="H149" s="6" t="s">
        <v>16</v>
      </c>
      <c r="I149" s="11"/>
      <c r="J149" s="4"/>
      <c r="K149" s="12"/>
      <c r="L149" s="4"/>
      <c r="M149" s="4"/>
      <c r="N149" s="4"/>
      <c r="O149" s="4"/>
      <c r="P149" s="4"/>
      <c r="Q149" s="4"/>
      <c r="R149" s="4"/>
      <c r="S149" s="4"/>
      <c r="T149" s="4"/>
      <c r="U149" s="4"/>
    </row>
    <row r="150" spans="1:21" ht="15.75" thickBot="1" x14ac:dyDescent="0.3">
      <c r="A150" s="8" t="s">
        <v>165</v>
      </c>
      <c r="B150" s="5">
        <v>335</v>
      </c>
      <c r="C150" s="14" t="s">
        <v>958</v>
      </c>
      <c r="D150" s="5" t="s">
        <v>10</v>
      </c>
      <c r="E150" s="5" t="s">
        <v>11</v>
      </c>
      <c r="F150" s="5" t="s">
        <v>12</v>
      </c>
      <c r="G150" s="5">
        <v>103</v>
      </c>
      <c r="H150" s="5" t="s">
        <v>13</v>
      </c>
      <c r="I150" s="10" t="s">
        <v>166</v>
      </c>
      <c r="J150" s="4"/>
      <c r="K150" s="12">
        <f t="shared" ref="K150:K213" si="218">(C151-C150)*1000</f>
        <v>86.894400000000033</v>
      </c>
      <c r="L150" s="4"/>
      <c r="M150" s="12">
        <f t="shared" ref="M150:M213" si="219">K150-$L$2</f>
        <v>-26.720026499999975</v>
      </c>
      <c r="N150" s="12">
        <f t="shared" ref="N150" si="220">M150^2</f>
        <v>713.95981616070094</v>
      </c>
      <c r="O150" s="4"/>
      <c r="P150" s="4"/>
      <c r="Q150" s="4"/>
      <c r="R150" s="4"/>
      <c r="S150" s="4"/>
      <c r="T150" s="4"/>
      <c r="U150" s="4"/>
    </row>
    <row r="151" spans="1:21" ht="15.75" thickBot="1" x14ac:dyDescent="0.3">
      <c r="A151" s="9"/>
      <c r="B151" s="6">
        <v>359</v>
      </c>
      <c r="C151" s="13" t="s">
        <v>959</v>
      </c>
      <c r="D151" s="6" t="s">
        <v>10</v>
      </c>
      <c r="E151" s="6" t="s">
        <v>11</v>
      </c>
      <c r="F151" s="6" t="s">
        <v>15</v>
      </c>
      <c r="G151" s="6">
        <v>132</v>
      </c>
      <c r="H151" s="6" t="s">
        <v>16</v>
      </c>
      <c r="I151" s="11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</row>
    <row r="152" spans="1:21" ht="15.75" thickBot="1" x14ac:dyDescent="0.3">
      <c r="A152" s="8" t="s">
        <v>167</v>
      </c>
      <c r="B152" s="5">
        <v>232</v>
      </c>
      <c r="C152" s="14" t="s">
        <v>960</v>
      </c>
      <c r="D152" s="5" t="s">
        <v>10</v>
      </c>
      <c r="E152" s="5" t="s">
        <v>11</v>
      </c>
      <c r="F152" s="5" t="s">
        <v>12</v>
      </c>
      <c r="G152" s="5">
        <v>103</v>
      </c>
      <c r="H152" s="5" t="s">
        <v>13</v>
      </c>
      <c r="I152" s="10" t="s">
        <v>168</v>
      </c>
      <c r="J152" s="4"/>
      <c r="K152" s="12">
        <f t="shared" ref="K152:K215" si="221">(C153-C152)*1000</f>
        <v>151.99249999999998</v>
      </c>
      <c r="L152" s="4"/>
      <c r="M152" s="12">
        <f t="shared" ref="M152:M215" si="222">K152-$L$2</f>
        <v>38.378073499999971</v>
      </c>
      <c r="N152" s="12">
        <f t="shared" ref="N152" si="223">M152^2</f>
        <v>1472.8765255714</v>
      </c>
      <c r="O152" s="4"/>
      <c r="P152" s="4"/>
      <c r="Q152" s="4"/>
      <c r="R152" s="4"/>
      <c r="S152" s="4"/>
      <c r="T152" s="4"/>
      <c r="U152" s="4"/>
    </row>
    <row r="153" spans="1:21" ht="15.75" thickBot="1" x14ac:dyDescent="0.3">
      <c r="A153" s="9"/>
      <c r="B153" s="6">
        <v>271</v>
      </c>
      <c r="C153" s="13" t="s">
        <v>961</v>
      </c>
      <c r="D153" s="6" t="s">
        <v>10</v>
      </c>
      <c r="E153" s="6" t="s">
        <v>11</v>
      </c>
      <c r="F153" s="6" t="s">
        <v>15</v>
      </c>
      <c r="G153" s="6">
        <v>132</v>
      </c>
      <c r="H153" s="6" t="s">
        <v>16</v>
      </c>
      <c r="I153" s="11"/>
      <c r="J153" s="4"/>
      <c r="K153" s="12"/>
      <c r="L153" s="4"/>
      <c r="M153" s="4"/>
      <c r="N153" s="4"/>
      <c r="O153" s="4"/>
      <c r="P153" s="4"/>
      <c r="Q153" s="4"/>
      <c r="R153" s="4"/>
      <c r="S153" s="4"/>
      <c r="T153" s="4"/>
      <c r="U153" s="4"/>
    </row>
    <row r="154" spans="1:21" ht="15.75" thickBot="1" x14ac:dyDescent="0.3">
      <c r="A154" s="8" t="s">
        <v>169</v>
      </c>
      <c r="B154" s="5">
        <v>259</v>
      </c>
      <c r="C154" s="14" t="s">
        <v>962</v>
      </c>
      <c r="D154" s="5" t="s">
        <v>10</v>
      </c>
      <c r="E154" s="5" t="s">
        <v>11</v>
      </c>
      <c r="F154" s="5" t="s">
        <v>12</v>
      </c>
      <c r="G154" s="5">
        <v>103</v>
      </c>
      <c r="H154" s="5" t="s">
        <v>13</v>
      </c>
      <c r="I154" s="10" t="s">
        <v>170</v>
      </c>
      <c r="J154" s="4"/>
      <c r="K154" s="12">
        <f t="shared" ref="K154:K217" si="224">(C155-C154)*1000</f>
        <v>60.517499999999998</v>
      </c>
      <c r="L154" s="4"/>
      <c r="M154" s="12">
        <f t="shared" ref="M154:M217" si="225">K154-$L$2</f>
        <v>-53.096926500000009</v>
      </c>
      <c r="N154" s="12">
        <f t="shared" ref="N154" si="226">M154^2</f>
        <v>2819.2836037464031</v>
      </c>
      <c r="O154" s="4"/>
      <c r="P154" s="4"/>
      <c r="Q154" s="4"/>
      <c r="R154" s="4"/>
      <c r="S154" s="4"/>
      <c r="T154" s="4"/>
      <c r="U154" s="4"/>
    </row>
    <row r="155" spans="1:21" ht="15.75" thickBot="1" x14ac:dyDescent="0.3">
      <c r="A155" s="9"/>
      <c r="B155" s="6">
        <v>278</v>
      </c>
      <c r="C155" s="13" t="s">
        <v>963</v>
      </c>
      <c r="D155" s="6" t="s">
        <v>10</v>
      </c>
      <c r="E155" s="6" t="s">
        <v>11</v>
      </c>
      <c r="F155" s="6" t="s">
        <v>15</v>
      </c>
      <c r="G155" s="6">
        <v>132</v>
      </c>
      <c r="H155" s="6" t="s">
        <v>16</v>
      </c>
      <c r="I155" s="11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</row>
    <row r="156" spans="1:21" ht="15.75" thickBot="1" x14ac:dyDescent="0.3">
      <c r="A156" s="8" t="s">
        <v>171</v>
      </c>
      <c r="B156" s="5">
        <v>218</v>
      </c>
      <c r="C156" s="14" t="s">
        <v>1608</v>
      </c>
      <c r="D156" s="5" t="s">
        <v>10</v>
      </c>
      <c r="E156" s="5" t="s">
        <v>11</v>
      </c>
      <c r="F156" s="5" t="s">
        <v>12</v>
      </c>
      <c r="G156" s="5">
        <v>103</v>
      </c>
      <c r="H156" s="5" t="s">
        <v>13</v>
      </c>
      <c r="I156" s="10" t="s">
        <v>172</v>
      </c>
      <c r="J156" s="4"/>
      <c r="K156" s="12">
        <f t="shared" ref="K156:K219" si="227">(C157-C156)*1000</f>
        <v>156.52440000000013</v>
      </c>
      <c r="L156" s="4"/>
      <c r="M156" s="12">
        <f t="shared" ref="M156:M219" si="228">K156-$L$2</f>
        <v>42.90997350000012</v>
      </c>
      <c r="N156" s="12">
        <f t="shared" ref="N156" si="229">M156^2</f>
        <v>1841.2658257707126</v>
      </c>
      <c r="O156" s="4"/>
      <c r="P156" s="4"/>
      <c r="Q156" s="4"/>
      <c r="R156" s="4"/>
      <c r="S156" s="4"/>
      <c r="T156" s="4"/>
      <c r="U156" s="4"/>
    </row>
    <row r="157" spans="1:21" ht="15.75" thickBot="1" x14ac:dyDescent="0.3">
      <c r="A157" s="9"/>
      <c r="B157" s="6">
        <v>259</v>
      </c>
      <c r="C157" s="13" t="s">
        <v>964</v>
      </c>
      <c r="D157" s="6" t="s">
        <v>10</v>
      </c>
      <c r="E157" s="6" t="s">
        <v>11</v>
      </c>
      <c r="F157" s="6" t="s">
        <v>15</v>
      </c>
      <c r="G157" s="6">
        <v>132</v>
      </c>
      <c r="H157" s="6" t="s">
        <v>16</v>
      </c>
      <c r="I157" s="11"/>
      <c r="J157" s="4"/>
      <c r="K157" s="12"/>
      <c r="L157" s="4"/>
      <c r="M157" s="4"/>
      <c r="N157" s="4"/>
      <c r="O157" s="4"/>
      <c r="P157" s="4"/>
      <c r="Q157" s="4"/>
      <c r="R157" s="4"/>
      <c r="S157" s="4"/>
      <c r="T157" s="4"/>
      <c r="U157" s="4"/>
    </row>
    <row r="158" spans="1:21" ht="15.75" thickBot="1" x14ac:dyDescent="0.3">
      <c r="A158" s="8" t="s">
        <v>173</v>
      </c>
      <c r="B158" s="5">
        <v>203</v>
      </c>
      <c r="C158" s="14" t="s">
        <v>966</v>
      </c>
      <c r="D158" s="5" t="s">
        <v>10</v>
      </c>
      <c r="E158" s="5" t="s">
        <v>11</v>
      </c>
      <c r="F158" s="5" t="s">
        <v>12</v>
      </c>
      <c r="G158" s="5">
        <v>103</v>
      </c>
      <c r="H158" s="5" t="s">
        <v>13</v>
      </c>
      <c r="I158" s="10" t="s">
        <v>174</v>
      </c>
      <c r="J158" s="4"/>
      <c r="K158" s="12">
        <f t="shared" ref="K158:K221" si="230">(C159-C158)*1000</f>
        <v>163.6765</v>
      </c>
      <c r="L158" s="4"/>
      <c r="M158" s="12">
        <f t="shared" ref="M158:M221" si="231">K158-$L$2</f>
        <v>50.062073499999997</v>
      </c>
      <c r="N158" s="12">
        <f t="shared" ref="N158" si="232">M158^2</f>
        <v>2506.2112031194019</v>
      </c>
      <c r="O158" s="4"/>
      <c r="P158" s="4"/>
      <c r="Q158" s="4"/>
      <c r="R158" s="4"/>
      <c r="S158" s="4"/>
      <c r="T158" s="4"/>
      <c r="U158" s="4"/>
    </row>
    <row r="159" spans="1:21" ht="15.75" thickBot="1" x14ac:dyDescent="0.3">
      <c r="A159" s="9"/>
      <c r="B159" s="6">
        <v>248</v>
      </c>
      <c r="C159" s="13" t="s">
        <v>965</v>
      </c>
      <c r="D159" s="6" t="s">
        <v>10</v>
      </c>
      <c r="E159" s="6" t="s">
        <v>11</v>
      </c>
      <c r="F159" s="6" t="s">
        <v>15</v>
      </c>
      <c r="G159" s="6">
        <v>132</v>
      </c>
      <c r="H159" s="6" t="s">
        <v>16</v>
      </c>
      <c r="I159" s="11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</row>
    <row r="160" spans="1:21" ht="15.75" thickBot="1" x14ac:dyDescent="0.3">
      <c r="A160" s="8" t="s">
        <v>175</v>
      </c>
      <c r="B160" s="5">
        <v>265</v>
      </c>
      <c r="C160" s="14" t="s">
        <v>967</v>
      </c>
      <c r="D160" s="5" t="s">
        <v>10</v>
      </c>
      <c r="E160" s="5" t="s">
        <v>11</v>
      </c>
      <c r="F160" s="5" t="s">
        <v>12</v>
      </c>
      <c r="G160" s="5">
        <v>103</v>
      </c>
      <c r="H160" s="5" t="s">
        <v>13</v>
      </c>
      <c r="I160" s="10" t="s">
        <v>176</v>
      </c>
      <c r="J160" s="4"/>
      <c r="K160" s="12">
        <f t="shared" ref="K160:K223" si="233">(C161-C160)*1000</f>
        <v>65.616399999999913</v>
      </c>
      <c r="L160" s="4"/>
      <c r="M160" s="12">
        <f t="shared" ref="M160:M223" si="234">K160-$L$2</f>
        <v>-47.998026500000094</v>
      </c>
      <c r="N160" s="12">
        <f t="shared" ref="N160" si="235">M160^2</f>
        <v>2303.8105478947114</v>
      </c>
      <c r="O160" s="4"/>
      <c r="P160" s="4"/>
      <c r="Q160" s="4"/>
      <c r="R160" s="4"/>
      <c r="S160" s="4"/>
      <c r="T160" s="4"/>
      <c r="U160" s="4"/>
    </row>
    <row r="161" spans="1:21" ht="15.75" thickBot="1" x14ac:dyDescent="0.3">
      <c r="A161" s="9"/>
      <c r="B161" s="6">
        <v>286</v>
      </c>
      <c r="C161" s="13" t="s">
        <v>968</v>
      </c>
      <c r="D161" s="6" t="s">
        <v>10</v>
      </c>
      <c r="E161" s="6" t="s">
        <v>11</v>
      </c>
      <c r="F161" s="6" t="s">
        <v>15</v>
      </c>
      <c r="G161" s="6">
        <v>132</v>
      </c>
      <c r="H161" s="6" t="s">
        <v>16</v>
      </c>
      <c r="I161" s="11"/>
      <c r="J161" s="4"/>
      <c r="K161" s="12"/>
      <c r="L161" s="4"/>
      <c r="M161" s="4"/>
      <c r="N161" s="4"/>
      <c r="O161" s="4"/>
      <c r="P161" s="4"/>
      <c r="Q161" s="4"/>
      <c r="R161" s="4"/>
      <c r="S161" s="4"/>
      <c r="T161" s="4"/>
      <c r="U161" s="4"/>
    </row>
    <row r="162" spans="1:21" ht="15.75" thickBot="1" x14ac:dyDescent="0.3">
      <c r="A162" s="8" t="s">
        <v>177</v>
      </c>
      <c r="B162" s="5">
        <v>218</v>
      </c>
      <c r="C162" s="14" t="s">
        <v>969</v>
      </c>
      <c r="D162" s="5" t="s">
        <v>10</v>
      </c>
      <c r="E162" s="5" t="s">
        <v>11</v>
      </c>
      <c r="F162" s="5" t="s">
        <v>12</v>
      </c>
      <c r="G162" s="5">
        <v>103</v>
      </c>
      <c r="H162" s="5" t="s">
        <v>13</v>
      </c>
      <c r="I162" s="10" t="s">
        <v>178</v>
      </c>
      <c r="J162" s="4"/>
      <c r="K162" s="12">
        <f t="shared" ref="K162:K225" si="236">(C163-C162)*1000</f>
        <v>71.012400000000085</v>
      </c>
      <c r="L162" s="4"/>
      <c r="M162" s="12">
        <f t="shared" ref="M162:M225" si="237">K162-$L$2</f>
        <v>-42.602026499999923</v>
      </c>
      <c r="N162" s="12">
        <f t="shared" ref="N162" si="238">M162^2</f>
        <v>1814.9326619066956</v>
      </c>
      <c r="O162" s="4"/>
      <c r="P162" s="4"/>
      <c r="Q162" s="4"/>
      <c r="R162" s="4"/>
      <c r="S162" s="4"/>
      <c r="T162" s="4"/>
      <c r="U162" s="4"/>
    </row>
    <row r="163" spans="1:21" ht="15.75" thickBot="1" x14ac:dyDescent="0.3">
      <c r="A163" s="9"/>
      <c r="B163" s="6">
        <v>241</v>
      </c>
      <c r="C163" s="13" t="s">
        <v>970</v>
      </c>
      <c r="D163" s="6" t="s">
        <v>10</v>
      </c>
      <c r="E163" s="6" t="s">
        <v>11</v>
      </c>
      <c r="F163" s="6" t="s">
        <v>15</v>
      </c>
      <c r="G163" s="6">
        <v>132</v>
      </c>
      <c r="H163" s="6" t="s">
        <v>16</v>
      </c>
      <c r="I163" s="11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</row>
    <row r="164" spans="1:21" ht="15.75" thickBot="1" x14ac:dyDescent="0.3">
      <c r="A164" s="8" t="s">
        <v>179</v>
      </c>
      <c r="B164" s="5">
        <v>219</v>
      </c>
      <c r="C164" s="14" t="s">
        <v>971</v>
      </c>
      <c r="D164" s="5" t="s">
        <v>10</v>
      </c>
      <c r="E164" s="5" t="s">
        <v>11</v>
      </c>
      <c r="F164" s="5" t="s">
        <v>12</v>
      </c>
      <c r="G164" s="5">
        <v>103</v>
      </c>
      <c r="H164" s="5" t="s">
        <v>13</v>
      </c>
      <c r="I164" s="10" t="s">
        <v>180</v>
      </c>
      <c r="J164" s="4"/>
      <c r="K164" s="12">
        <f t="shared" ref="K164:K227" si="239">(C165-C164)*1000</f>
        <v>107.15809999999992</v>
      </c>
      <c r="L164" s="4"/>
      <c r="M164" s="12">
        <f t="shared" ref="M164:M227" si="240">K164-$L$2</f>
        <v>-6.4563265000000882</v>
      </c>
      <c r="N164" s="12">
        <f t="shared" ref="N164" si="241">M164^2</f>
        <v>41.684151874603387</v>
      </c>
      <c r="O164" s="4"/>
      <c r="P164" s="4"/>
      <c r="Q164" s="4"/>
      <c r="R164" s="4"/>
      <c r="S164" s="4"/>
      <c r="T164" s="4"/>
      <c r="U164" s="4"/>
    </row>
    <row r="165" spans="1:21" ht="15.75" thickBot="1" x14ac:dyDescent="0.3">
      <c r="A165" s="9"/>
      <c r="B165" s="6">
        <v>250</v>
      </c>
      <c r="C165" s="13" t="s">
        <v>972</v>
      </c>
      <c r="D165" s="6" t="s">
        <v>10</v>
      </c>
      <c r="E165" s="6" t="s">
        <v>11</v>
      </c>
      <c r="F165" s="6" t="s">
        <v>15</v>
      </c>
      <c r="G165" s="6">
        <v>132</v>
      </c>
      <c r="H165" s="6" t="s">
        <v>16</v>
      </c>
      <c r="I165" s="11"/>
      <c r="J165" s="4"/>
      <c r="K165" s="12"/>
      <c r="L165" s="4"/>
      <c r="M165" s="4"/>
      <c r="N165" s="4"/>
      <c r="O165" s="4"/>
      <c r="P165" s="4"/>
      <c r="Q165" s="4"/>
      <c r="R165" s="4"/>
      <c r="S165" s="4"/>
      <c r="T165" s="4"/>
      <c r="U165" s="4"/>
    </row>
    <row r="166" spans="1:21" ht="15.75" thickBot="1" x14ac:dyDescent="0.3">
      <c r="A166" s="8" t="s">
        <v>181</v>
      </c>
      <c r="B166" s="5">
        <v>240</v>
      </c>
      <c r="C166" s="14" t="s">
        <v>973</v>
      </c>
      <c r="D166" s="5" t="s">
        <v>10</v>
      </c>
      <c r="E166" s="5" t="s">
        <v>11</v>
      </c>
      <c r="F166" s="5" t="s">
        <v>12</v>
      </c>
      <c r="G166" s="5">
        <v>103</v>
      </c>
      <c r="H166" s="5" t="s">
        <v>13</v>
      </c>
      <c r="I166" s="10" t="s">
        <v>182</v>
      </c>
      <c r="J166" s="4"/>
      <c r="K166" s="12">
        <f t="shared" ref="K166:K229" si="242">(C167-C166)*1000</f>
        <v>166.71539999999996</v>
      </c>
      <c r="L166" s="4"/>
      <c r="M166" s="12">
        <f t="shared" ref="M166:M229" si="243">K166-$L$2</f>
        <v>53.100973499999952</v>
      </c>
      <c r="N166" s="12">
        <f t="shared" ref="N166" si="244">M166^2</f>
        <v>2819.713386647697</v>
      </c>
      <c r="O166" s="4"/>
      <c r="P166" s="4"/>
      <c r="Q166" s="4"/>
      <c r="R166" s="4"/>
      <c r="S166" s="4"/>
      <c r="T166" s="4"/>
      <c r="U166" s="4"/>
    </row>
    <row r="167" spans="1:21" ht="15.75" thickBot="1" x14ac:dyDescent="0.3">
      <c r="A167" s="9"/>
      <c r="B167" s="6">
        <v>284</v>
      </c>
      <c r="C167" s="13" t="s">
        <v>974</v>
      </c>
      <c r="D167" s="6" t="s">
        <v>10</v>
      </c>
      <c r="E167" s="6" t="s">
        <v>11</v>
      </c>
      <c r="F167" s="6" t="s">
        <v>15</v>
      </c>
      <c r="G167" s="6">
        <v>132</v>
      </c>
      <c r="H167" s="6" t="s">
        <v>16</v>
      </c>
      <c r="I167" s="11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</row>
    <row r="168" spans="1:21" ht="15.75" thickBot="1" x14ac:dyDescent="0.3">
      <c r="A168" s="8" t="s">
        <v>183</v>
      </c>
      <c r="B168" s="5">
        <v>244</v>
      </c>
      <c r="C168" s="14" t="s">
        <v>975</v>
      </c>
      <c r="D168" s="5" t="s">
        <v>10</v>
      </c>
      <c r="E168" s="5" t="s">
        <v>11</v>
      </c>
      <c r="F168" s="5" t="s">
        <v>12</v>
      </c>
      <c r="G168" s="5">
        <v>103</v>
      </c>
      <c r="H168" s="5" t="s">
        <v>13</v>
      </c>
      <c r="I168" s="10" t="s">
        <v>184</v>
      </c>
      <c r="J168" s="4"/>
      <c r="K168" s="12">
        <f t="shared" ref="K168:K231" si="245">(C169-C168)*1000</f>
        <v>70.956000000000017</v>
      </c>
      <c r="L168" s="4"/>
      <c r="M168" s="12">
        <f t="shared" ref="M168:M231" si="246">K168-$L$2</f>
        <v>-42.65842649999999</v>
      </c>
      <c r="N168" s="12">
        <f t="shared" ref="N168" si="247">M168^2</f>
        <v>1819.7413514559014</v>
      </c>
      <c r="O168" s="4"/>
      <c r="P168" s="4"/>
      <c r="Q168" s="4"/>
      <c r="R168" s="4"/>
      <c r="S168" s="4"/>
      <c r="T168" s="4"/>
      <c r="U168" s="4"/>
    </row>
    <row r="169" spans="1:21" ht="15.75" thickBot="1" x14ac:dyDescent="0.3">
      <c r="A169" s="9"/>
      <c r="B169" s="6">
        <v>263</v>
      </c>
      <c r="C169" s="13" t="s">
        <v>976</v>
      </c>
      <c r="D169" s="6" t="s">
        <v>10</v>
      </c>
      <c r="E169" s="6" t="s">
        <v>11</v>
      </c>
      <c r="F169" s="6" t="s">
        <v>15</v>
      </c>
      <c r="G169" s="6">
        <v>132</v>
      </c>
      <c r="H169" s="6" t="s">
        <v>16</v>
      </c>
      <c r="I169" s="11"/>
      <c r="J169" s="4"/>
      <c r="K169" s="12"/>
      <c r="L169" s="4"/>
      <c r="M169" s="4"/>
      <c r="N169" s="4"/>
      <c r="O169" s="4"/>
      <c r="P169" s="4"/>
      <c r="Q169" s="4"/>
      <c r="R169" s="4"/>
      <c r="S169" s="4"/>
      <c r="T169" s="4"/>
      <c r="U169" s="4"/>
    </row>
    <row r="170" spans="1:21" ht="15.75" thickBot="1" x14ac:dyDescent="0.3">
      <c r="A170" s="8" t="s">
        <v>185</v>
      </c>
      <c r="B170" s="5">
        <v>267</v>
      </c>
      <c r="C170" s="14" t="s">
        <v>977</v>
      </c>
      <c r="D170" s="5" t="s">
        <v>10</v>
      </c>
      <c r="E170" s="5" t="s">
        <v>11</v>
      </c>
      <c r="F170" s="5" t="s">
        <v>12</v>
      </c>
      <c r="G170" s="5">
        <v>103</v>
      </c>
      <c r="H170" s="5" t="s">
        <v>13</v>
      </c>
      <c r="I170" s="10" t="s">
        <v>186</v>
      </c>
      <c r="J170" s="4"/>
      <c r="K170" s="12">
        <f t="shared" ref="K170:K233" si="248">(C171-C170)*1000</f>
        <v>116.61100000000002</v>
      </c>
      <c r="L170" s="4"/>
      <c r="M170" s="12">
        <f t="shared" ref="M170:M233" si="249">K170-$L$2</f>
        <v>2.9965735000000109</v>
      </c>
      <c r="N170" s="12">
        <f t="shared" ref="N170" si="250">M170^2</f>
        <v>8.9794527409023157</v>
      </c>
      <c r="O170" s="4"/>
      <c r="P170" s="4"/>
      <c r="Q170" s="4"/>
      <c r="R170" s="4"/>
      <c r="S170" s="4"/>
      <c r="T170" s="4"/>
      <c r="U170" s="4"/>
    </row>
    <row r="171" spans="1:21" ht="15.75" thickBot="1" x14ac:dyDescent="0.3">
      <c r="A171" s="9"/>
      <c r="B171" s="6">
        <v>295</v>
      </c>
      <c r="C171" s="13" t="s">
        <v>978</v>
      </c>
      <c r="D171" s="6" t="s">
        <v>10</v>
      </c>
      <c r="E171" s="6" t="s">
        <v>11</v>
      </c>
      <c r="F171" s="6" t="s">
        <v>15</v>
      </c>
      <c r="G171" s="6">
        <v>132</v>
      </c>
      <c r="H171" s="6" t="s">
        <v>16</v>
      </c>
      <c r="I171" s="11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</row>
    <row r="172" spans="1:21" ht="15.75" thickBot="1" x14ac:dyDescent="0.3">
      <c r="A172" s="8" t="s">
        <v>187</v>
      </c>
      <c r="B172" s="5">
        <v>198</v>
      </c>
      <c r="C172" s="14" t="s">
        <v>979</v>
      </c>
      <c r="D172" s="5" t="s">
        <v>10</v>
      </c>
      <c r="E172" s="5" t="s">
        <v>11</v>
      </c>
      <c r="F172" s="5" t="s">
        <v>12</v>
      </c>
      <c r="G172" s="5">
        <v>103</v>
      </c>
      <c r="H172" s="5" t="s">
        <v>13</v>
      </c>
      <c r="I172" s="10" t="s">
        <v>188</v>
      </c>
      <c r="J172" s="4"/>
      <c r="K172" s="12">
        <f t="shared" ref="K172:K235" si="251">(C173-C172)*1000</f>
        <v>71.433499999999924</v>
      </c>
      <c r="L172" s="4"/>
      <c r="M172" s="12">
        <f t="shared" ref="M172:M235" si="252">K172-$L$2</f>
        <v>-42.180926500000083</v>
      </c>
      <c r="N172" s="12">
        <f t="shared" ref="N172" si="253">M172^2</f>
        <v>1779.2305603984094</v>
      </c>
      <c r="O172" s="4"/>
      <c r="P172" s="4"/>
      <c r="Q172" s="4"/>
      <c r="R172" s="4"/>
      <c r="S172" s="4"/>
      <c r="T172" s="4"/>
      <c r="U172" s="4"/>
    </row>
    <row r="173" spans="1:21" ht="15.75" thickBot="1" x14ac:dyDescent="0.3">
      <c r="A173" s="9"/>
      <c r="B173" s="6">
        <v>220</v>
      </c>
      <c r="C173" s="13" t="s">
        <v>980</v>
      </c>
      <c r="D173" s="6" t="s">
        <v>10</v>
      </c>
      <c r="E173" s="6" t="s">
        <v>11</v>
      </c>
      <c r="F173" s="6" t="s">
        <v>15</v>
      </c>
      <c r="G173" s="6">
        <v>132</v>
      </c>
      <c r="H173" s="6" t="s">
        <v>16</v>
      </c>
      <c r="I173" s="11"/>
      <c r="J173" s="4"/>
      <c r="K173" s="12"/>
      <c r="L173" s="4"/>
      <c r="M173" s="4"/>
      <c r="N173" s="4"/>
      <c r="O173" s="4"/>
      <c r="P173" s="4"/>
      <c r="Q173" s="4"/>
      <c r="R173" s="4"/>
      <c r="S173" s="4"/>
      <c r="T173" s="4"/>
      <c r="U173" s="4"/>
    </row>
    <row r="174" spans="1:21" ht="15.75" thickBot="1" x14ac:dyDescent="0.3">
      <c r="A174" s="8" t="s">
        <v>189</v>
      </c>
      <c r="B174" s="5">
        <v>297</v>
      </c>
      <c r="C174" s="14" t="s">
        <v>981</v>
      </c>
      <c r="D174" s="5" t="s">
        <v>10</v>
      </c>
      <c r="E174" s="5" t="s">
        <v>11</v>
      </c>
      <c r="F174" s="5" t="s">
        <v>12</v>
      </c>
      <c r="G174" s="5">
        <v>103</v>
      </c>
      <c r="H174" s="5" t="s">
        <v>13</v>
      </c>
      <c r="I174" s="10" t="s">
        <v>190</v>
      </c>
      <c r="J174" s="4"/>
      <c r="K174" s="12">
        <f t="shared" ref="K174:K237" si="254">(C175-C174)*1000</f>
        <v>83.433199999999985</v>
      </c>
      <c r="L174" s="4"/>
      <c r="M174" s="12">
        <f t="shared" ref="M174:M237" si="255">K174-$L$2</f>
        <v>-30.181226500000022</v>
      </c>
      <c r="N174" s="12">
        <f t="shared" ref="N174" si="256">M174^2</f>
        <v>910.90643304430364</v>
      </c>
      <c r="O174" s="4"/>
      <c r="P174" s="4"/>
      <c r="Q174" s="4"/>
      <c r="R174" s="4"/>
      <c r="S174" s="4"/>
      <c r="T174" s="4"/>
      <c r="U174" s="4"/>
    </row>
    <row r="175" spans="1:21" ht="15.75" thickBot="1" x14ac:dyDescent="0.3">
      <c r="A175" s="9"/>
      <c r="B175" s="6">
        <v>324</v>
      </c>
      <c r="C175" s="13" t="s">
        <v>982</v>
      </c>
      <c r="D175" s="6" t="s">
        <v>10</v>
      </c>
      <c r="E175" s="6" t="s">
        <v>11</v>
      </c>
      <c r="F175" s="6" t="s">
        <v>15</v>
      </c>
      <c r="G175" s="6">
        <v>132</v>
      </c>
      <c r="H175" s="6" t="s">
        <v>16</v>
      </c>
      <c r="I175" s="11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</row>
    <row r="176" spans="1:21" ht="15.75" thickBot="1" x14ac:dyDescent="0.3">
      <c r="A176" s="8" t="s">
        <v>191</v>
      </c>
      <c r="B176" s="5">
        <v>246</v>
      </c>
      <c r="C176" s="14" t="s">
        <v>983</v>
      </c>
      <c r="D176" s="5" t="s">
        <v>10</v>
      </c>
      <c r="E176" s="5" t="s">
        <v>11</v>
      </c>
      <c r="F176" s="5" t="s">
        <v>12</v>
      </c>
      <c r="G176" s="5">
        <v>103</v>
      </c>
      <c r="H176" s="5" t="s">
        <v>13</v>
      </c>
      <c r="I176" s="10" t="s">
        <v>192</v>
      </c>
      <c r="J176" s="4"/>
      <c r="K176" s="12">
        <f t="shared" ref="K176:K239" si="257">(C177-C176)*1000</f>
        <v>136.47319999999996</v>
      </c>
      <c r="L176" s="4"/>
      <c r="M176" s="12">
        <f t="shared" ref="M176:M239" si="258">K176-$L$2</f>
        <v>22.858773499999955</v>
      </c>
      <c r="N176" s="12">
        <f t="shared" ref="N176" si="259">M176^2</f>
        <v>522.5235259243002</v>
      </c>
      <c r="O176" s="4"/>
      <c r="P176" s="4"/>
      <c r="Q176" s="4"/>
      <c r="R176" s="4"/>
      <c r="S176" s="4"/>
      <c r="T176" s="4"/>
      <c r="U176" s="4"/>
    </row>
    <row r="177" spans="1:21" ht="15.75" thickBot="1" x14ac:dyDescent="0.3">
      <c r="A177" s="9"/>
      <c r="B177" s="6">
        <v>293</v>
      </c>
      <c r="C177" s="13" t="s">
        <v>984</v>
      </c>
      <c r="D177" s="6" t="s">
        <v>10</v>
      </c>
      <c r="E177" s="6" t="s">
        <v>11</v>
      </c>
      <c r="F177" s="6" t="s">
        <v>15</v>
      </c>
      <c r="G177" s="6">
        <v>132</v>
      </c>
      <c r="H177" s="6" t="s">
        <v>16</v>
      </c>
      <c r="I177" s="11"/>
      <c r="J177" s="4"/>
      <c r="K177" s="12"/>
      <c r="L177" s="4"/>
      <c r="M177" s="4"/>
      <c r="N177" s="4"/>
      <c r="O177" s="4"/>
      <c r="P177" s="4"/>
      <c r="Q177" s="4"/>
      <c r="R177" s="4"/>
      <c r="S177" s="4"/>
      <c r="T177" s="4"/>
      <c r="U177" s="4"/>
    </row>
    <row r="178" spans="1:21" ht="15.75" thickBot="1" x14ac:dyDescent="0.3">
      <c r="A178" s="8" t="s">
        <v>193</v>
      </c>
      <c r="B178" s="5">
        <v>250</v>
      </c>
      <c r="C178" s="14" t="s">
        <v>985</v>
      </c>
      <c r="D178" s="5" t="s">
        <v>10</v>
      </c>
      <c r="E178" s="5" t="s">
        <v>11</v>
      </c>
      <c r="F178" s="5" t="s">
        <v>12</v>
      </c>
      <c r="G178" s="5">
        <v>103</v>
      </c>
      <c r="H178" s="5" t="s">
        <v>13</v>
      </c>
      <c r="I178" s="10" t="s">
        <v>194</v>
      </c>
      <c r="J178" s="4"/>
      <c r="K178" s="12">
        <f t="shared" ref="K178:K241" si="260">(C179-C178)*1000</f>
        <v>97.384900000000002</v>
      </c>
      <c r="L178" s="4"/>
      <c r="M178" s="12">
        <f t="shared" ref="M178:M241" si="261">K178-$L$2</f>
        <v>-16.229526500000006</v>
      </c>
      <c r="N178" s="12">
        <f t="shared" ref="N178" si="262">M178^2</f>
        <v>263.39753041420244</v>
      </c>
      <c r="O178" s="4"/>
      <c r="P178" s="4"/>
      <c r="Q178" s="4"/>
      <c r="R178" s="4"/>
      <c r="S178" s="4"/>
      <c r="T178" s="4"/>
      <c r="U178" s="4"/>
    </row>
    <row r="179" spans="1:21" ht="15.75" thickBot="1" x14ac:dyDescent="0.3">
      <c r="A179" s="9"/>
      <c r="B179" s="6">
        <v>278</v>
      </c>
      <c r="C179" s="13" t="s">
        <v>986</v>
      </c>
      <c r="D179" s="6" t="s">
        <v>10</v>
      </c>
      <c r="E179" s="6" t="s">
        <v>11</v>
      </c>
      <c r="F179" s="6" t="s">
        <v>15</v>
      </c>
      <c r="G179" s="6">
        <v>132</v>
      </c>
      <c r="H179" s="6" t="s">
        <v>16</v>
      </c>
      <c r="I179" s="11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</row>
    <row r="180" spans="1:21" ht="15.75" thickBot="1" x14ac:dyDescent="0.3">
      <c r="A180" s="8" t="s">
        <v>195</v>
      </c>
      <c r="B180" s="5">
        <v>224</v>
      </c>
      <c r="C180" s="14" t="s">
        <v>987</v>
      </c>
      <c r="D180" s="5" t="s">
        <v>10</v>
      </c>
      <c r="E180" s="5" t="s">
        <v>11</v>
      </c>
      <c r="F180" s="5" t="s">
        <v>12</v>
      </c>
      <c r="G180" s="5">
        <v>103</v>
      </c>
      <c r="H180" s="5" t="s">
        <v>13</v>
      </c>
      <c r="I180" s="10" t="s">
        <v>196</v>
      </c>
      <c r="J180" s="4"/>
      <c r="K180" s="12">
        <f t="shared" ref="K180:K243" si="263">(C181-C180)*1000</f>
        <v>76.857900000000029</v>
      </c>
      <c r="L180" s="4"/>
      <c r="M180" s="12">
        <f t="shared" ref="M180:M243" si="264">K180-$L$2</f>
        <v>-36.756526499999978</v>
      </c>
      <c r="N180" s="12">
        <f t="shared" ref="N180" si="265">M180^2</f>
        <v>1351.0422403452008</v>
      </c>
      <c r="O180" s="4"/>
      <c r="P180" s="4"/>
      <c r="Q180" s="4"/>
      <c r="R180" s="4"/>
      <c r="S180" s="4"/>
      <c r="T180" s="4"/>
      <c r="U180" s="4"/>
    </row>
    <row r="181" spans="1:21" ht="15.75" thickBot="1" x14ac:dyDescent="0.3">
      <c r="A181" s="9"/>
      <c r="B181" s="6">
        <v>246</v>
      </c>
      <c r="C181" s="13" t="s">
        <v>988</v>
      </c>
      <c r="D181" s="6" t="s">
        <v>10</v>
      </c>
      <c r="E181" s="6" t="s">
        <v>11</v>
      </c>
      <c r="F181" s="6" t="s">
        <v>15</v>
      </c>
      <c r="G181" s="6">
        <v>132</v>
      </c>
      <c r="H181" s="6" t="s">
        <v>16</v>
      </c>
      <c r="I181" s="11"/>
      <c r="J181" s="4"/>
      <c r="K181" s="12"/>
      <c r="L181" s="4"/>
      <c r="M181" s="4"/>
      <c r="N181" s="4"/>
      <c r="O181" s="4"/>
      <c r="P181" s="4"/>
      <c r="Q181" s="4"/>
      <c r="R181" s="4"/>
      <c r="S181" s="4"/>
      <c r="T181" s="4"/>
      <c r="U181" s="4"/>
    </row>
    <row r="182" spans="1:21" ht="15.75" thickBot="1" x14ac:dyDescent="0.3">
      <c r="A182" s="8" t="s">
        <v>197</v>
      </c>
      <c r="B182" s="5">
        <v>274</v>
      </c>
      <c r="C182" s="14" t="s">
        <v>989</v>
      </c>
      <c r="D182" s="5" t="s">
        <v>10</v>
      </c>
      <c r="E182" s="5" t="s">
        <v>11</v>
      </c>
      <c r="F182" s="5" t="s">
        <v>12</v>
      </c>
      <c r="G182" s="5">
        <v>103</v>
      </c>
      <c r="H182" s="5" t="s">
        <v>13</v>
      </c>
      <c r="I182" s="10" t="s">
        <v>198</v>
      </c>
      <c r="J182" s="4"/>
      <c r="K182" s="12">
        <f t="shared" ref="K182:K245" si="266">(C183-C182)*1000</f>
        <v>110.11529999999992</v>
      </c>
      <c r="L182" s="4"/>
      <c r="M182" s="12">
        <f t="shared" ref="M182:M245" si="267">K182-$L$2</f>
        <v>-3.499126500000088</v>
      </c>
      <c r="N182" s="12">
        <f t="shared" ref="N182" si="268">M182^2</f>
        <v>12.243886263002866</v>
      </c>
      <c r="O182" s="4"/>
      <c r="P182" s="4"/>
      <c r="Q182" s="4"/>
      <c r="R182" s="4"/>
      <c r="S182" s="4"/>
      <c r="T182" s="4"/>
      <c r="U182" s="4"/>
    </row>
    <row r="183" spans="1:21" ht="15.75" thickBot="1" x14ac:dyDescent="0.3">
      <c r="A183" s="9"/>
      <c r="B183" s="6">
        <v>305</v>
      </c>
      <c r="C183" s="13" t="s">
        <v>990</v>
      </c>
      <c r="D183" s="6" t="s">
        <v>10</v>
      </c>
      <c r="E183" s="6" t="s">
        <v>11</v>
      </c>
      <c r="F183" s="6" t="s">
        <v>15</v>
      </c>
      <c r="G183" s="6">
        <v>132</v>
      </c>
      <c r="H183" s="6" t="s">
        <v>16</v>
      </c>
      <c r="I183" s="11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</row>
    <row r="184" spans="1:21" ht="15.75" thickBot="1" x14ac:dyDescent="0.3">
      <c r="A184" s="8" t="s">
        <v>199</v>
      </c>
      <c r="B184" s="5">
        <v>230</v>
      </c>
      <c r="C184" s="14" t="s">
        <v>991</v>
      </c>
      <c r="D184" s="5" t="s">
        <v>10</v>
      </c>
      <c r="E184" s="5" t="s">
        <v>11</v>
      </c>
      <c r="F184" s="5" t="s">
        <v>12</v>
      </c>
      <c r="G184" s="5">
        <v>103</v>
      </c>
      <c r="H184" s="5" t="s">
        <v>13</v>
      </c>
      <c r="I184" s="10" t="s">
        <v>200</v>
      </c>
      <c r="J184" s="4"/>
      <c r="K184" s="12">
        <f t="shared" ref="K184:K247" si="269">(C185-C184)*1000</f>
        <v>151.2312</v>
      </c>
      <c r="L184" s="4"/>
      <c r="M184" s="12">
        <f t="shared" ref="M184:M247" si="270">K184-$L$2</f>
        <v>37.616773499999994</v>
      </c>
      <c r="N184" s="12">
        <f t="shared" ref="N184" si="271">M184^2</f>
        <v>1415.0216485503017</v>
      </c>
      <c r="O184" s="4"/>
      <c r="P184" s="4"/>
      <c r="Q184" s="4"/>
      <c r="R184" s="4"/>
      <c r="S184" s="4"/>
      <c r="T184" s="4"/>
      <c r="U184" s="4"/>
    </row>
    <row r="185" spans="1:21" ht="15.75" thickBot="1" x14ac:dyDescent="0.3">
      <c r="A185" s="9"/>
      <c r="B185" s="6">
        <v>266</v>
      </c>
      <c r="C185" s="13" t="s">
        <v>992</v>
      </c>
      <c r="D185" s="6" t="s">
        <v>10</v>
      </c>
      <c r="E185" s="6" t="s">
        <v>11</v>
      </c>
      <c r="F185" s="6" t="s">
        <v>15</v>
      </c>
      <c r="G185" s="6">
        <v>132</v>
      </c>
      <c r="H185" s="6" t="s">
        <v>16</v>
      </c>
      <c r="I185" s="11"/>
      <c r="J185" s="4"/>
      <c r="K185" s="12"/>
      <c r="L185" s="4"/>
      <c r="M185" s="4"/>
      <c r="N185" s="4"/>
      <c r="O185" s="4"/>
      <c r="P185" s="4"/>
      <c r="Q185" s="4"/>
      <c r="R185" s="4"/>
      <c r="S185" s="4"/>
      <c r="T185" s="4"/>
      <c r="U185" s="4"/>
    </row>
    <row r="186" spans="1:21" ht="15.75" thickBot="1" x14ac:dyDescent="0.3">
      <c r="A186" s="8" t="s">
        <v>201</v>
      </c>
      <c r="B186" s="5">
        <v>235</v>
      </c>
      <c r="C186" s="14" t="s">
        <v>993</v>
      </c>
      <c r="D186" s="5" t="s">
        <v>10</v>
      </c>
      <c r="E186" s="5" t="s">
        <v>11</v>
      </c>
      <c r="F186" s="5" t="s">
        <v>12</v>
      </c>
      <c r="G186" s="5">
        <v>103</v>
      </c>
      <c r="H186" s="5" t="s">
        <v>13</v>
      </c>
      <c r="I186" s="10" t="s">
        <v>202</v>
      </c>
      <c r="J186" s="4"/>
      <c r="K186" s="12">
        <f t="shared" ref="K186:K249" si="272">(C187-C186)*1000</f>
        <v>122.75680000000011</v>
      </c>
      <c r="L186" s="4"/>
      <c r="M186" s="12">
        <f t="shared" ref="M186:M249" si="273">K186-$L$2</f>
        <v>9.1423735000001045</v>
      </c>
      <c r="N186" s="12">
        <f t="shared" ref="N186" si="274">M186^2</f>
        <v>83.582993213504167</v>
      </c>
      <c r="O186" s="4"/>
      <c r="P186" s="4"/>
      <c r="Q186" s="4"/>
      <c r="R186" s="4"/>
      <c r="S186" s="4"/>
      <c r="T186" s="4"/>
      <c r="U186" s="4"/>
    </row>
    <row r="187" spans="1:21" ht="15.75" thickBot="1" x14ac:dyDescent="0.3">
      <c r="A187" s="9"/>
      <c r="B187" s="6">
        <v>265</v>
      </c>
      <c r="C187" s="13" t="s">
        <v>994</v>
      </c>
      <c r="D187" s="6" t="s">
        <v>10</v>
      </c>
      <c r="E187" s="6" t="s">
        <v>11</v>
      </c>
      <c r="F187" s="6" t="s">
        <v>15</v>
      </c>
      <c r="G187" s="6">
        <v>132</v>
      </c>
      <c r="H187" s="6" t="s">
        <v>16</v>
      </c>
      <c r="I187" s="11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</row>
    <row r="188" spans="1:21" ht="15.75" thickBot="1" x14ac:dyDescent="0.3">
      <c r="A188" s="8" t="s">
        <v>203</v>
      </c>
      <c r="B188" s="5">
        <v>247</v>
      </c>
      <c r="C188" s="14" t="s">
        <v>995</v>
      </c>
      <c r="D188" s="5" t="s">
        <v>10</v>
      </c>
      <c r="E188" s="5" t="s">
        <v>11</v>
      </c>
      <c r="F188" s="5" t="s">
        <v>12</v>
      </c>
      <c r="G188" s="5">
        <v>103</v>
      </c>
      <c r="H188" s="5" t="s">
        <v>13</v>
      </c>
      <c r="I188" s="10" t="s">
        <v>204</v>
      </c>
      <c r="J188" s="4"/>
      <c r="K188" s="12">
        <f t="shared" ref="K188:K251" si="275">(C189-C188)*1000</f>
        <v>112.07540000000016</v>
      </c>
      <c r="L188" s="4"/>
      <c r="M188" s="12">
        <f t="shared" ref="M188:M251" si="276">K188-$L$2</f>
        <v>-1.5390264999998493</v>
      </c>
      <c r="N188" s="12">
        <f t="shared" ref="N188" si="277">M188^2</f>
        <v>2.3686025677017861</v>
      </c>
      <c r="O188" s="4"/>
      <c r="P188" s="4"/>
      <c r="Q188" s="4"/>
      <c r="R188" s="4"/>
      <c r="S188" s="4"/>
      <c r="T188" s="4"/>
      <c r="U188" s="4"/>
    </row>
    <row r="189" spans="1:21" ht="15.75" thickBot="1" x14ac:dyDescent="0.3">
      <c r="A189" s="9"/>
      <c r="B189" s="6">
        <v>274</v>
      </c>
      <c r="C189" s="13" t="s">
        <v>996</v>
      </c>
      <c r="D189" s="6" t="s">
        <v>10</v>
      </c>
      <c r="E189" s="6" t="s">
        <v>11</v>
      </c>
      <c r="F189" s="6" t="s">
        <v>15</v>
      </c>
      <c r="G189" s="6">
        <v>132</v>
      </c>
      <c r="H189" s="6" t="s">
        <v>16</v>
      </c>
      <c r="I189" s="11"/>
      <c r="J189" s="4"/>
      <c r="K189" s="12"/>
      <c r="L189" s="4"/>
      <c r="M189" s="4"/>
      <c r="N189" s="4"/>
      <c r="O189" s="4"/>
      <c r="P189" s="4"/>
      <c r="Q189" s="4"/>
      <c r="R189" s="4"/>
      <c r="S189" s="4"/>
      <c r="T189" s="4"/>
      <c r="U189" s="4"/>
    </row>
    <row r="190" spans="1:21" ht="15.75" thickBot="1" x14ac:dyDescent="0.3">
      <c r="A190" s="8" t="s">
        <v>205</v>
      </c>
      <c r="B190" s="5">
        <v>287</v>
      </c>
      <c r="C190" s="14" t="s">
        <v>997</v>
      </c>
      <c r="D190" s="5" t="s">
        <v>10</v>
      </c>
      <c r="E190" s="5" t="s">
        <v>11</v>
      </c>
      <c r="F190" s="5" t="s">
        <v>12</v>
      </c>
      <c r="G190" s="5">
        <v>103</v>
      </c>
      <c r="H190" s="5" t="s">
        <v>13</v>
      </c>
      <c r="I190" s="10" t="s">
        <v>206</v>
      </c>
      <c r="J190" s="4"/>
      <c r="K190" s="12">
        <f t="shared" ref="K190:K253" si="278">(C191-C190)*1000</f>
        <v>106.8823000000001</v>
      </c>
      <c r="L190" s="4"/>
      <c r="M190" s="12">
        <f t="shared" ref="M190:M253" si="279">K190-$L$2</f>
        <v>-6.7321264999999073</v>
      </c>
      <c r="N190" s="12">
        <f t="shared" ref="N190" si="280">M190^2</f>
        <v>45.321527212001001</v>
      </c>
      <c r="O190" s="4"/>
      <c r="P190" s="4"/>
      <c r="Q190" s="4"/>
      <c r="R190" s="4"/>
      <c r="S190" s="4"/>
      <c r="T190" s="4"/>
      <c r="U190" s="4"/>
    </row>
    <row r="191" spans="1:21" ht="15.75" thickBot="1" x14ac:dyDescent="0.3">
      <c r="A191" s="9"/>
      <c r="B191" s="6">
        <v>314</v>
      </c>
      <c r="C191" s="13" t="s">
        <v>998</v>
      </c>
      <c r="D191" s="6" t="s">
        <v>10</v>
      </c>
      <c r="E191" s="6" t="s">
        <v>11</v>
      </c>
      <c r="F191" s="6" t="s">
        <v>15</v>
      </c>
      <c r="G191" s="6">
        <v>132</v>
      </c>
      <c r="H191" s="6" t="s">
        <v>16</v>
      </c>
      <c r="I191" s="11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</row>
    <row r="192" spans="1:21" ht="15.75" thickBot="1" x14ac:dyDescent="0.3">
      <c r="A192" s="8" t="s">
        <v>207</v>
      </c>
      <c r="B192" s="5">
        <v>199</v>
      </c>
      <c r="C192" s="14" t="s">
        <v>999</v>
      </c>
      <c r="D192" s="5" t="s">
        <v>10</v>
      </c>
      <c r="E192" s="5" t="s">
        <v>11</v>
      </c>
      <c r="F192" s="5" t="s">
        <v>12</v>
      </c>
      <c r="G192" s="5">
        <v>103</v>
      </c>
      <c r="H192" s="5" t="s">
        <v>13</v>
      </c>
      <c r="I192" s="10" t="s">
        <v>208</v>
      </c>
      <c r="J192" s="4"/>
      <c r="K192" s="12">
        <f t="shared" ref="K192:K255" si="281">(C193-C192)*1000</f>
        <v>105.84660000000001</v>
      </c>
      <c r="L192" s="4"/>
      <c r="M192" s="12">
        <f t="shared" ref="M192:M255" si="282">K192-$L$2</f>
        <v>-7.7678264999999982</v>
      </c>
      <c r="N192" s="12">
        <f t="shared" ref="N192" si="283">M192^2</f>
        <v>60.339128534102223</v>
      </c>
      <c r="O192" s="4"/>
      <c r="P192" s="4"/>
      <c r="Q192" s="4"/>
      <c r="R192" s="4"/>
      <c r="S192" s="4"/>
      <c r="T192" s="4"/>
      <c r="U192" s="4"/>
    </row>
    <row r="193" spans="1:21" ht="15.75" thickBot="1" x14ac:dyDescent="0.3">
      <c r="A193" s="9"/>
      <c r="B193" s="6">
        <v>227</v>
      </c>
      <c r="C193" s="13" t="s">
        <v>1000</v>
      </c>
      <c r="D193" s="6" t="s">
        <v>10</v>
      </c>
      <c r="E193" s="6" t="s">
        <v>11</v>
      </c>
      <c r="F193" s="6" t="s">
        <v>15</v>
      </c>
      <c r="G193" s="6">
        <v>132</v>
      </c>
      <c r="H193" s="6" t="s">
        <v>16</v>
      </c>
      <c r="I193" s="11"/>
      <c r="J193" s="4"/>
      <c r="K193" s="12"/>
      <c r="L193" s="4"/>
      <c r="M193" s="4"/>
      <c r="N193" s="4"/>
      <c r="O193" s="4"/>
      <c r="P193" s="4"/>
      <c r="Q193" s="4"/>
      <c r="R193" s="4"/>
      <c r="S193" s="4"/>
      <c r="T193" s="4"/>
      <c r="U193" s="4"/>
    </row>
    <row r="194" spans="1:21" ht="15.75" thickBot="1" x14ac:dyDescent="0.3">
      <c r="A194" s="8" t="s">
        <v>209</v>
      </c>
      <c r="B194" s="5">
        <v>266</v>
      </c>
      <c r="C194" s="14" t="s">
        <v>1001</v>
      </c>
      <c r="D194" s="5" t="s">
        <v>10</v>
      </c>
      <c r="E194" s="5" t="s">
        <v>11</v>
      </c>
      <c r="F194" s="5" t="s">
        <v>12</v>
      </c>
      <c r="G194" s="5">
        <v>103</v>
      </c>
      <c r="H194" s="5" t="s">
        <v>13</v>
      </c>
      <c r="I194" s="10" t="s">
        <v>210</v>
      </c>
      <c r="J194" s="4"/>
      <c r="K194" s="12">
        <f t="shared" ref="K194:K257" si="284">(C195-C194)*1000</f>
        <v>152.64579999999995</v>
      </c>
      <c r="L194" s="4"/>
      <c r="M194" s="12">
        <f t="shared" ref="M194:M257" si="285">K194-$L$2</f>
        <v>39.031373499999944</v>
      </c>
      <c r="N194" s="12">
        <f t="shared" ref="N194" si="286">M194^2</f>
        <v>1523.4481172964979</v>
      </c>
      <c r="O194" s="4"/>
      <c r="P194" s="4"/>
      <c r="Q194" s="4"/>
      <c r="R194" s="4"/>
      <c r="S194" s="4"/>
      <c r="T194" s="4"/>
      <c r="U194" s="4"/>
    </row>
    <row r="195" spans="1:21" ht="15.75" thickBot="1" x14ac:dyDescent="0.3">
      <c r="A195" s="9"/>
      <c r="B195" s="6">
        <v>309</v>
      </c>
      <c r="C195" s="13" t="s">
        <v>1002</v>
      </c>
      <c r="D195" s="6" t="s">
        <v>10</v>
      </c>
      <c r="E195" s="6" t="s">
        <v>11</v>
      </c>
      <c r="F195" s="6" t="s">
        <v>15</v>
      </c>
      <c r="G195" s="6">
        <v>132</v>
      </c>
      <c r="H195" s="6" t="s">
        <v>16</v>
      </c>
      <c r="I195" s="11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</row>
    <row r="196" spans="1:21" ht="15.75" thickBot="1" x14ac:dyDescent="0.3">
      <c r="A196" s="8" t="s">
        <v>211</v>
      </c>
      <c r="B196" s="5">
        <v>273</v>
      </c>
      <c r="C196" s="14" t="s">
        <v>1003</v>
      </c>
      <c r="D196" s="5" t="s">
        <v>10</v>
      </c>
      <c r="E196" s="5" t="s">
        <v>11</v>
      </c>
      <c r="F196" s="5" t="s">
        <v>12</v>
      </c>
      <c r="G196" s="5">
        <v>103</v>
      </c>
      <c r="H196" s="5" t="s">
        <v>13</v>
      </c>
      <c r="I196" s="10" t="s">
        <v>212</v>
      </c>
      <c r="J196" s="4"/>
      <c r="K196" s="12">
        <f t="shared" ref="K196:K259" si="287">(C197-C196)*1000</f>
        <v>157.07959999999989</v>
      </c>
      <c r="L196" s="4"/>
      <c r="M196" s="12">
        <f t="shared" ref="M196:M259" si="288">K196-$L$2</f>
        <v>43.465173499999878</v>
      </c>
      <c r="N196" s="12">
        <f t="shared" ref="N196" si="289">M196^2</f>
        <v>1889.2213073850917</v>
      </c>
      <c r="O196" s="4"/>
      <c r="P196" s="4"/>
      <c r="Q196" s="4"/>
      <c r="R196" s="4"/>
      <c r="S196" s="4"/>
      <c r="T196" s="4"/>
      <c r="U196" s="4"/>
    </row>
    <row r="197" spans="1:21" ht="15.75" thickBot="1" x14ac:dyDescent="0.3">
      <c r="A197" s="9"/>
      <c r="B197" s="6">
        <v>309</v>
      </c>
      <c r="C197" s="13" t="s">
        <v>1004</v>
      </c>
      <c r="D197" s="6" t="s">
        <v>10</v>
      </c>
      <c r="E197" s="6" t="s">
        <v>11</v>
      </c>
      <c r="F197" s="6" t="s">
        <v>15</v>
      </c>
      <c r="G197" s="6">
        <v>132</v>
      </c>
      <c r="H197" s="6" t="s">
        <v>16</v>
      </c>
      <c r="I197" s="11"/>
      <c r="J197" s="4"/>
      <c r="K197" s="12"/>
      <c r="L197" s="4"/>
      <c r="M197" s="4"/>
      <c r="N197" s="4"/>
      <c r="O197" s="4"/>
      <c r="P197" s="4"/>
      <c r="Q197" s="4"/>
      <c r="R197" s="4"/>
      <c r="S197" s="4"/>
      <c r="T197" s="4"/>
      <c r="U197" s="4"/>
    </row>
    <row r="198" spans="1:21" ht="15.75" thickBot="1" x14ac:dyDescent="0.3">
      <c r="A198" s="8" t="s">
        <v>213</v>
      </c>
      <c r="B198" s="5">
        <v>240</v>
      </c>
      <c r="C198" s="14" t="s">
        <v>1005</v>
      </c>
      <c r="D198" s="5" t="s">
        <v>10</v>
      </c>
      <c r="E198" s="5" t="s">
        <v>11</v>
      </c>
      <c r="F198" s="5" t="s">
        <v>12</v>
      </c>
      <c r="G198" s="5">
        <v>103</v>
      </c>
      <c r="H198" s="5" t="s">
        <v>13</v>
      </c>
      <c r="I198" s="10" t="s">
        <v>214</v>
      </c>
      <c r="J198" s="4"/>
      <c r="K198" s="12">
        <f t="shared" ref="K198:K261" si="290">(C199-C198)*1000</f>
        <v>146.25080000000003</v>
      </c>
      <c r="L198" s="4"/>
      <c r="M198" s="12">
        <f t="shared" ref="M198:M261" si="291">K198-$L$2</f>
        <v>32.636373500000019</v>
      </c>
      <c r="N198" s="12">
        <f t="shared" ref="N198" si="292">M198^2</f>
        <v>1065.1328752315035</v>
      </c>
      <c r="O198" s="4"/>
      <c r="P198" s="4"/>
      <c r="Q198" s="4"/>
      <c r="R198" s="4"/>
      <c r="S198" s="4"/>
      <c r="T198" s="4"/>
      <c r="U198" s="4"/>
    </row>
    <row r="199" spans="1:21" ht="15.75" thickBot="1" x14ac:dyDescent="0.3">
      <c r="A199" s="9"/>
      <c r="B199" s="6">
        <v>279</v>
      </c>
      <c r="C199" s="13" t="s">
        <v>1006</v>
      </c>
      <c r="D199" s="6" t="s">
        <v>10</v>
      </c>
      <c r="E199" s="6" t="s">
        <v>11</v>
      </c>
      <c r="F199" s="6" t="s">
        <v>15</v>
      </c>
      <c r="G199" s="6">
        <v>132</v>
      </c>
      <c r="H199" s="6" t="s">
        <v>16</v>
      </c>
      <c r="I199" s="11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</row>
    <row r="200" spans="1:21" ht="15.75" thickBot="1" x14ac:dyDescent="0.3">
      <c r="A200" s="8" t="s">
        <v>215</v>
      </c>
      <c r="B200" s="5">
        <v>294</v>
      </c>
      <c r="C200" s="14" t="s">
        <v>1007</v>
      </c>
      <c r="D200" s="5" t="s">
        <v>10</v>
      </c>
      <c r="E200" s="5" t="s">
        <v>11</v>
      </c>
      <c r="F200" s="5" t="s">
        <v>12</v>
      </c>
      <c r="G200" s="5">
        <v>103</v>
      </c>
      <c r="H200" s="5" t="s">
        <v>13</v>
      </c>
      <c r="I200" s="10" t="s">
        <v>216</v>
      </c>
      <c r="J200" s="4"/>
      <c r="K200" s="12">
        <f t="shared" ref="K200:K263" si="293">(C201-C200)*1000</f>
        <v>117.52600000000002</v>
      </c>
      <c r="L200" s="4"/>
      <c r="M200" s="12">
        <f t="shared" ref="M200:M263" si="294">K200-$L$2</f>
        <v>3.9115735000000171</v>
      </c>
      <c r="N200" s="12">
        <f t="shared" ref="N200" si="295">M200^2</f>
        <v>15.300407245902385</v>
      </c>
      <c r="O200" s="4"/>
      <c r="P200" s="4"/>
      <c r="Q200" s="4"/>
      <c r="R200" s="4"/>
      <c r="S200" s="4"/>
      <c r="T200" s="4"/>
      <c r="U200" s="4"/>
    </row>
    <row r="201" spans="1:21" ht="15.75" thickBot="1" x14ac:dyDescent="0.3">
      <c r="A201" s="9"/>
      <c r="B201" s="6">
        <v>323</v>
      </c>
      <c r="C201" s="13" t="s">
        <v>1008</v>
      </c>
      <c r="D201" s="6" t="s">
        <v>10</v>
      </c>
      <c r="E201" s="6" t="s">
        <v>11</v>
      </c>
      <c r="F201" s="6" t="s">
        <v>15</v>
      </c>
      <c r="G201" s="6">
        <v>132</v>
      </c>
      <c r="H201" s="6" t="s">
        <v>16</v>
      </c>
      <c r="I201" s="11"/>
      <c r="J201" s="4"/>
      <c r="K201" s="12"/>
      <c r="L201" s="4"/>
      <c r="M201" s="4"/>
      <c r="N201" s="4"/>
      <c r="O201" s="4"/>
      <c r="P201" s="4"/>
      <c r="Q201" s="4"/>
      <c r="R201" s="4"/>
      <c r="S201" s="4"/>
      <c r="T201" s="4"/>
      <c r="U201" s="4"/>
    </row>
    <row r="202" spans="1:21" ht="15.75" thickBot="1" x14ac:dyDescent="0.3">
      <c r="A202" s="8" t="s">
        <v>217</v>
      </c>
      <c r="B202" s="5">
        <v>257</v>
      </c>
      <c r="C202" s="14" t="s">
        <v>1009</v>
      </c>
      <c r="D202" s="5" t="s">
        <v>10</v>
      </c>
      <c r="E202" s="5" t="s">
        <v>11</v>
      </c>
      <c r="F202" s="5" t="s">
        <v>12</v>
      </c>
      <c r="G202" s="5">
        <v>103</v>
      </c>
      <c r="H202" s="5" t="s">
        <v>13</v>
      </c>
      <c r="I202" s="10" t="s">
        <v>218</v>
      </c>
      <c r="J202" s="4"/>
      <c r="K202" s="12">
        <f t="shared" ref="K202:K265" si="296">(C203-C202)*1000</f>
        <v>166.60359999999997</v>
      </c>
      <c r="L202" s="4"/>
      <c r="M202" s="12">
        <f t="shared" ref="M202:M265" si="297">K202-$L$2</f>
        <v>52.989173499999964</v>
      </c>
      <c r="N202" s="12">
        <f t="shared" ref="N202" si="298">M202^2</f>
        <v>2807.8525082130986</v>
      </c>
      <c r="O202" s="4"/>
      <c r="P202" s="4"/>
      <c r="Q202" s="4"/>
      <c r="R202" s="4"/>
      <c r="S202" s="4"/>
      <c r="T202" s="4"/>
      <c r="U202" s="4"/>
    </row>
    <row r="203" spans="1:21" ht="15.75" thickBot="1" x14ac:dyDescent="0.3">
      <c r="A203" s="9"/>
      <c r="B203" s="6">
        <v>300</v>
      </c>
      <c r="C203" s="13" t="s">
        <v>1010</v>
      </c>
      <c r="D203" s="6" t="s">
        <v>10</v>
      </c>
      <c r="E203" s="6" t="s">
        <v>11</v>
      </c>
      <c r="F203" s="6" t="s">
        <v>15</v>
      </c>
      <c r="G203" s="6">
        <v>132</v>
      </c>
      <c r="H203" s="6" t="s">
        <v>16</v>
      </c>
      <c r="I203" s="11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</row>
    <row r="204" spans="1:21" ht="15.75" thickBot="1" x14ac:dyDescent="0.3">
      <c r="A204" s="8" t="s">
        <v>219</v>
      </c>
      <c r="B204" s="5">
        <v>335</v>
      </c>
      <c r="C204" s="14" t="s">
        <v>1011</v>
      </c>
      <c r="D204" s="5" t="s">
        <v>10</v>
      </c>
      <c r="E204" s="5" t="s">
        <v>11</v>
      </c>
      <c r="F204" s="5" t="s">
        <v>12</v>
      </c>
      <c r="G204" s="5">
        <v>103</v>
      </c>
      <c r="H204" s="5" t="s">
        <v>13</v>
      </c>
      <c r="I204" s="10" t="s">
        <v>220</v>
      </c>
      <c r="J204" s="4"/>
      <c r="K204" s="12">
        <f t="shared" ref="K204:K267" si="299">(C205-C204)*1000</f>
        <v>72.232100000000131</v>
      </c>
      <c r="L204" s="4"/>
      <c r="M204" s="12">
        <f t="shared" ref="M204:M267" si="300">K204-$L$2</f>
        <v>-41.382326499999877</v>
      </c>
      <c r="N204" s="12">
        <f t="shared" ref="N204" si="301">M204^2</f>
        <v>1712.4969465525921</v>
      </c>
      <c r="O204" s="4"/>
      <c r="P204" s="4"/>
      <c r="Q204" s="4"/>
      <c r="R204" s="4"/>
      <c r="S204" s="4"/>
      <c r="T204" s="4"/>
      <c r="U204" s="4"/>
    </row>
    <row r="205" spans="1:21" ht="15.75" thickBot="1" x14ac:dyDescent="0.3">
      <c r="A205" s="9"/>
      <c r="B205" s="6">
        <v>359</v>
      </c>
      <c r="C205" s="13" t="s">
        <v>1012</v>
      </c>
      <c r="D205" s="6" t="s">
        <v>10</v>
      </c>
      <c r="E205" s="6" t="s">
        <v>11</v>
      </c>
      <c r="F205" s="6" t="s">
        <v>15</v>
      </c>
      <c r="G205" s="6">
        <v>132</v>
      </c>
      <c r="H205" s="6" t="s">
        <v>16</v>
      </c>
      <c r="I205" s="11"/>
      <c r="J205" s="4"/>
      <c r="K205" s="12"/>
      <c r="L205" s="4"/>
      <c r="M205" s="4"/>
      <c r="N205" s="4"/>
      <c r="O205" s="4"/>
      <c r="P205" s="4"/>
      <c r="Q205" s="4"/>
      <c r="R205" s="4"/>
      <c r="S205" s="4"/>
      <c r="T205" s="4"/>
      <c r="U205" s="4"/>
    </row>
    <row r="206" spans="1:21" ht="15.75" thickBot="1" x14ac:dyDescent="0.3">
      <c r="A206" s="8" t="s">
        <v>221</v>
      </c>
      <c r="B206" s="5">
        <v>231</v>
      </c>
      <c r="C206" s="14" t="s">
        <v>1013</v>
      </c>
      <c r="D206" s="5" t="s">
        <v>10</v>
      </c>
      <c r="E206" s="5" t="s">
        <v>11</v>
      </c>
      <c r="F206" s="5" t="s">
        <v>12</v>
      </c>
      <c r="G206" s="5">
        <v>103</v>
      </c>
      <c r="H206" s="5" t="s">
        <v>13</v>
      </c>
      <c r="I206" s="10" t="s">
        <v>222</v>
      </c>
      <c r="J206" s="4"/>
      <c r="K206" s="12">
        <f t="shared" ref="K206:K269" si="302">(C207-C206)*1000</f>
        <v>132.20249999999999</v>
      </c>
      <c r="L206" s="4"/>
      <c r="M206" s="12">
        <f t="shared" ref="M206:M269" si="303">K206-$L$2</f>
        <v>18.588073499999979</v>
      </c>
      <c r="N206" s="12">
        <f t="shared" ref="N206" si="304">M206^2</f>
        <v>345.51647644140144</v>
      </c>
      <c r="O206" s="4"/>
      <c r="P206" s="4"/>
      <c r="Q206" s="4"/>
      <c r="R206" s="4"/>
      <c r="S206" s="4"/>
      <c r="T206" s="4"/>
      <c r="U206" s="4"/>
    </row>
    <row r="207" spans="1:21" ht="15.75" thickBot="1" x14ac:dyDescent="0.3">
      <c r="A207" s="9"/>
      <c r="B207" s="6">
        <v>266</v>
      </c>
      <c r="C207" s="13" t="s">
        <v>1014</v>
      </c>
      <c r="D207" s="6" t="s">
        <v>10</v>
      </c>
      <c r="E207" s="6" t="s">
        <v>11</v>
      </c>
      <c r="F207" s="6" t="s">
        <v>15</v>
      </c>
      <c r="G207" s="6">
        <v>132</v>
      </c>
      <c r="H207" s="6" t="s">
        <v>16</v>
      </c>
      <c r="I207" s="11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</row>
    <row r="208" spans="1:21" ht="15.75" thickBot="1" x14ac:dyDescent="0.3">
      <c r="A208" s="8" t="s">
        <v>223</v>
      </c>
      <c r="B208" s="5">
        <v>234</v>
      </c>
      <c r="C208" s="14" t="s">
        <v>1015</v>
      </c>
      <c r="D208" s="5" t="s">
        <v>10</v>
      </c>
      <c r="E208" s="5" t="s">
        <v>11</v>
      </c>
      <c r="F208" s="5" t="s">
        <v>12</v>
      </c>
      <c r="G208" s="5">
        <v>103</v>
      </c>
      <c r="H208" s="5" t="s">
        <v>13</v>
      </c>
      <c r="I208" s="10" t="s">
        <v>224</v>
      </c>
      <c r="J208" s="4"/>
      <c r="K208" s="12">
        <f t="shared" ref="K208:K271" si="305">(C209-C208)*1000</f>
        <v>123.08330000000001</v>
      </c>
      <c r="L208" s="4"/>
      <c r="M208" s="12">
        <f t="shared" ref="M208:M271" si="306">K208-$L$2</f>
        <v>9.4688735000000008</v>
      </c>
      <c r="N208" s="12">
        <f t="shared" ref="N208" si="307">M208^2</f>
        <v>89.659565359002272</v>
      </c>
      <c r="O208" s="4"/>
      <c r="P208" s="4"/>
      <c r="Q208" s="4"/>
      <c r="R208" s="4"/>
      <c r="S208" s="4"/>
      <c r="T208" s="4"/>
      <c r="U208" s="4"/>
    </row>
    <row r="209" spans="1:21" ht="15.75" thickBot="1" x14ac:dyDescent="0.3">
      <c r="A209" s="9"/>
      <c r="B209" s="6">
        <v>263</v>
      </c>
      <c r="C209" s="13" t="s">
        <v>1016</v>
      </c>
      <c r="D209" s="6" t="s">
        <v>10</v>
      </c>
      <c r="E209" s="6" t="s">
        <v>11</v>
      </c>
      <c r="F209" s="6" t="s">
        <v>15</v>
      </c>
      <c r="G209" s="6">
        <v>132</v>
      </c>
      <c r="H209" s="6" t="s">
        <v>16</v>
      </c>
      <c r="I209" s="11"/>
      <c r="J209" s="4"/>
      <c r="K209" s="12"/>
      <c r="L209" s="4"/>
      <c r="M209" s="4"/>
      <c r="N209" s="4"/>
      <c r="O209" s="4"/>
      <c r="P209" s="4"/>
      <c r="Q209" s="4"/>
      <c r="R209" s="4"/>
      <c r="S209" s="4"/>
      <c r="T209" s="4"/>
      <c r="U209" s="4"/>
    </row>
    <row r="210" spans="1:21" ht="15.75" thickBot="1" x14ac:dyDescent="0.3">
      <c r="A210" s="8" t="s">
        <v>225</v>
      </c>
      <c r="B210" s="5">
        <v>287</v>
      </c>
      <c r="C210" s="14" t="s">
        <v>1017</v>
      </c>
      <c r="D210" s="5" t="s">
        <v>10</v>
      </c>
      <c r="E210" s="5" t="s">
        <v>11</v>
      </c>
      <c r="F210" s="5" t="s">
        <v>12</v>
      </c>
      <c r="G210" s="5">
        <v>103</v>
      </c>
      <c r="H210" s="5" t="s">
        <v>13</v>
      </c>
      <c r="I210" s="10" t="s">
        <v>19</v>
      </c>
      <c r="J210" s="4"/>
      <c r="K210" s="12">
        <f t="shared" ref="K210:K273" si="308">(C211-C210)*1000</f>
        <v>256.80109999999991</v>
      </c>
      <c r="L210" s="4"/>
      <c r="M210" s="12">
        <f t="shared" ref="M210:M273" si="309">K210-$L$2</f>
        <v>143.1866734999999</v>
      </c>
      <c r="N210" s="12">
        <f t="shared" ref="N210" si="310">M210^2</f>
        <v>20502.423467995573</v>
      </c>
      <c r="O210" s="4"/>
      <c r="P210" s="4"/>
      <c r="Q210" s="4"/>
      <c r="R210" s="4"/>
      <c r="S210" s="4"/>
      <c r="T210" s="4"/>
      <c r="U210" s="4"/>
    </row>
    <row r="211" spans="1:21" ht="15.75" thickBot="1" x14ac:dyDescent="0.3">
      <c r="A211" s="9"/>
      <c r="B211" s="6">
        <v>343</v>
      </c>
      <c r="C211" s="13" t="s">
        <v>1018</v>
      </c>
      <c r="D211" s="6" t="s">
        <v>10</v>
      </c>
      <c r="E211" s="6" t="s">
        <v>11</v>
      </c>
      <c r="F211" s="6" t="s">
        <v>15</v>
      </c>
      <c r="G211" s="6">
        <v>132</v>
      </c>
      <c r="H211" s="6" t="s">
        <v>16</v>
      </c>
      <c r="I211" s="11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</row>
    <row r="212" spans="1:21" ht="15.75" thickBot="1" x14ac:dyDescent="0.3">
      <c r="A212" s="8" t="s">
        <v>226</v>
      </c>
      <c r="B212" s="5">
        <v>281</v>
      </c>
      <c r="C212" s="14" t="s">
        <v>1019</v>
      </c>
      <c r="D212" s="5" t="s">
        <v>10</v>
      </c>
      <c r="E212" s="5" t="s">
        <v>11</v>
      </c>
      <c r="F212" s="5" t="s">
        <v>12</v>
      </c>
      <c r="G212" s="5">
        <v>103</v>
      </c>
      <c r="H212" s="5" t="s">
        <v>13</v>
      </c>
      <c r="I212" s="10" t="s">
        <v>227</v>
      </c>
      <c r="J212" s="4"/>
      <c r="K212" s="12">
        <f t="shared" ref="K212:K275" si="311">(C213-C212)*1000</f>
        <v>112.36420000000003</v>
      </c>
      <c r="L212" s="4"/>
      <c r="M212" s="12">
        <f t="shared" ref="M212:M275" si="312">K212-$L$2</f>
        <v>-1.2502264999999824</v>
      </c>
      <c r="N212" s="12">
        <f t="shared" ref="N212" si="313">M212^2</f>
        <v>1.5630663013022059</v>
      </c>
      <c r="O212" s="4"/>
      <c r="P212" s="4"/>
      <c r="Q212" s="4"/>
      <c r="R212" s="4"/>
      <c r="S212" s="4"/>
      <c r="T212" s="4"/>
      <c r="U212" s="4"/>
    </row>
    <row r="213" spans="1:21" ht="15.75" thickBot="1" x14ac:dyDescent="0.3">
      <c r="A213" s="9"/>
      <c r="B213" s="6">
        <v>311</v>
      </c>
      <c r="C213" s="13" t="s">
        <v>1020</v>
      </c>
      <c r="D213" s="6" t="s">
        <v>10</v>
      </c>
      <c r="E213" s="6" t="s">
        <v>11</v>
      </c>
      <c r="F213" s="6" t="s">
        <v>15</v>
      </c>
      <c r="G213" s="6">
        <v>132</v>
      </c>
      <c r="H213" s="6" t="s">
        <v>16</v>
      </c>
      <c r="I213" s="11"/>
      <c r="J213" s="4"/>
      <c r="K213" s="12"/>
      <c r="L213" s="4"/>
      <c r="M213" s="4"/>
      <c r="N213" s="4"/>
      <c r="O213" s="4"/>
      <c r="P213" s="4"/>
      <c r="Q213" s="4"/>
      <c r="R213" s="4"/>
      <c r="S213" s="4"/>
      <c r="T213" s="4"/>
      <c r="U213" s="4"/>
    </row>
    <row r="214" spans="1:21" ht="15.75" thickBot="1" x14ac:dyDescent="0.3">
      <c r="A214" s="8" t="s">
        <v>228</v>
      </c>
      <c r="B214" s="5">
        <v>260</v>
      </c>
      <c r="C214" s="14" t="s">
        <v>1021</v>
      </c>
      <c r="D214" s="5" t="s">
        <v>10</v>
      </c>
      <c r="E214" s="5" t="s">
        <v>11</v>
      </c>
      <c r="F214" s="5" t="s">
        <v>12</v>
      </c>
      <c r="G214" s="5">
        <v>103</v>
      </c>
      <c r="H214" s="5" t="s">
        <v>13</v>
      </c>
      <c r="I214" s="10" t="s">
        <v>229</v>
      </c>
      <c r="J214" s="4"/>
      <c r="K214" s="12">
        <f t="shared" ref="K214:K277" si="314">(C215-C214)*1000</f>
        <v>74.751899999999864</v>
      </c>
      <c r="L214" s="4"/>
      <c r="M214" s="12">
        <f t="shared" ref="M214:M277" si="315">K214-$L$2</f>
        <v>-38.862526500000143</v>
      </c>
      <c r="N214" s="12">
        <f t="shared" ref="N214" si="316">M214^2</f>
        <v>1510.2959659632133</v>
      </c>
      <c r="O214" s="4"/>
      <c r="P214" s="4"/>
      <c r="Q214" s="4"/>
      <c r="R214" s="4"/>
      <c r="S214" s="4"/>
      <c r="T214" s="4"/>
      <c r="U214" s="4"/>
    </row>
    <row r="215" spans="1:21" ht="15.75" thickBot="1" x14ac:dyDescent="0.3">
      <c r="A215" s="9"/>
      <c r="B215" s="6">
        <v>283</v>
      </c>
      <c r="C215" s="13" t="s">
        <v>1022</v>
      </c>
      <c r="D215" s="6" t="s">
        <v>10</v>
      </c>
      <c r="E215" s="6" t="s">
        <v>11</v>
      </c>
      <c r="F215" s="6" t="s">
        <v>15</v>
      </c>
      <c r="G215" s="6">
        <v>132</v>
      </c>
      <c r="H215" s="6" t="s">
        <v>16</v>
      </c>
      <c r="I215" s="11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</row>
    <row r="216" spans="1:21" ht="15.75" thickBot="1" x14ac:dyDescent="0.3">
      <c r="A216" s="8" t="s">
        <v>230</v>
      </c>
      <c r="B216" s="5">
        <v>306</v>
      </c>
      <c r="C216" s="14" t="s">
        <v>1023</v>
      </c>
      <c r="D216" s="5" t="s">
        <v>10</v>
      </c>
      <c r="E216" s="5" t="s">
        <v>11</v>
      </c>
      <c r="F216" s="5" t="s">
        <v>12</v>
      </c>
      <c r="G216" s="5">
        <v>103</v>
      </c>
      <c r="H216" s="5" t="s">
        <v>13</v>
      </c>
      <c r="I216" s="10" t="s">
        <v>231</v>
      </c>
      <c r="J216" s="4"/>
      <c r="K216" s="12">
        <f t="shared" ref="K216:K279" si="317">(C217-C216)*1000</f>
        <v>135.55779999999996</v>
      </c>
      <c r="L216" s="4"/>
      <c r="M216" s="12">
        <f t="shared" ref="M216:M279" si="318">K216-$L$2</f>
        <v>21.94337349999995</v>
      </c>
      <c r="N216" s="12">
        <f t="shared" ref="N216" si="319">M216^2</f>
        <v>481.51164056050004</v>
      </c>
      <c r="O216" s="4"/>
      <c r="P216" s="4"/>
      <c r="Q216" s="4"/>
      <c r="R216" s="4"/>
      <c r="S216" s="4"/>
      <c r="T216" s="4"/>
      <c r="U216" s="4"/>
    </row>
    <row r="217" spans="1:21" ht="15.75" thickBot="1" x14ac:dyDescent="0.3">
      <c r="A217" s="9"/>
      <c r="B217" s="6">
        <v>343</v>
      </c>
      <c r="C217" s="13" t="s">
        <v>1024</v>
      </c>
      <c r="D217" s="6" t="s">
        <v>10</v>
      </c>
      <c r="E217" s="6" t="s">
        <v>11</v>
      </c>
      <c r="F217" s="6" t="s">
        <v>15</v>
      </c>
      <c r="G217" s="6">
        <v>128</v>
      </c>
      <c r="H217" s="6" t="s">
        <v>16</v>
      </c>
      <c r="I217" s="11"/>
      <c r="J217" s="4"/>
      <c r="K217" s="12"/>
      <c r="L217" s="4"/>
      <c r="M217" s="4"/>
      <c r="N217" s="4"/>
      <c r="O217" s="4"/>
      <c r="P217" s="4"/>
      <c r="Q217" s="4"/>
      <c r="R217" s="4"/>
      <c r="S217" s="4"/>
      <c r="T217" s="4"/>
      <c r="U217" s="4"/>
    </row>
    <row r="218" spans="1:21" ht="15.75" thickBot="1" x14ac:dyDescent="0.3">
      <c r="A218" s="8" t="s">
        <v>232</v>
      </c>
      <c r="B218" s="5">
        <v>251</v>
      </c>
      <c r="C218" s="14" t="s">
        <v>1025</v>
      </c>
      <c r="D218" s="5" t="s">
        <v>10</v>
      </c>
      <c r="E218" s="5" t="s">
        <v>11</v>
      </c>
      <c r="F218" s="5" t="s">
        <v>12</v>
      </c>
      <c r="G218" s="5">
        <v>103</v>
      </c>
      <c r="H218" s="5" t="s">
        <v>13</v>
      </c>
      <c r="I218" s="10" t="s">
        <v>233</v>
      </c>
      <c r="J218" s="4"/>
      <c r="K218" s="12">
        <f t="shared" ref="K218:K281" si="320">(C219-C218)*1000</f>
        <v>112.78710000000002</v>
      </c>
      <c r="L218" s="4"/>
      <c r="M218" s="12">
        <f t="shared" ref="M218:M281" si="321">K218-$L$2</f>
        <v>-0.82732649999998387</v>
      </c>
      <c r="N218" s="12">
        <f t="shared" ref="N218" si="322">M218^2</f>
        <v>0.68446913760222328</v>
      </c>
      <c r="O218" s="4"/>
      <c r="P218" s="4"/>
      <c r="Q218" s="4"/>
      <c r="R218" s="4"/>
      <c r="S218" s="4"/>
      <c r="T218" s="4"/>
      <c r="U218" s="4"/>
    </row>
    <row r="219" spans="1:21" ht="15.75" thickBot="1" x14ac:dyDescent="0.3">
      <c r="A219" s="9"/>
      <c r="B219" s="6">
        <v>283</v>
      </c>
      <c r="C219" s="13" t="s">
        <v>1026</v>
      </c>
      <c r="D219" s="6" t="s">
        <v>10</v>
      </c>
      <c r="E219" s="6" t="s">
        <v>11</v>
      </c>
      <c r="F219" s="6" t="s">
        <v>15</v>
      </c>
      <c r="G219" s="6">
        <v>132</v>
      </c>
      <c r="H219" s="6" t="s">
        <v>16</v>
      </c>
      <c r="I219" s="11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</row>
    <row r="220" spans="1:21" ht="15.75" thickBot="1" x14ac:dyDescent="0.3">
      <c r="A220" s="8" t="s">
        <v>234</v>
      </c>
      <c r="B220" s="5">
        <v>248</v>
      </c>
      <c r="C220" s="14" t="s">
        <v>1027</v>
      </c>
      <c r="D220" s="5" t="s">
        <v>10</v>
      </c>
      <c r="E220" s="5" t="s">
        <v>11</v>
      </c>
      <c r="F220" s="5" t="s">
        <v>12</v>
      </c>
      <c r="G220" s="5">
        <v>103</v>
      </c>
      <c r="H220" s="5" t="s">
        <v>13</v>
      </c>
      <c r="I220" s="10" t="s">
        <v>235</v>
      </c>
      <c r="J220" s="4"/>
      <c r="K220" s="12">
        <f t="shared" ref="K220:K283" si="323">(C221-C220)*1000</f>
        <v>135.1532999999998</v>
      </c>
      <c r="L220" s="4"/>
      <c r="M220" s="12">
        <f t="shared" ref="M220:M283" si="324">K220-$L$2</f>
        <v>21.538873499999795</v>
      </c>
      <c r="N220" s="12">
        <f t="shared" ref="N220" si="325">M220^2</f>
        <v>463.92307164899341</v>
      </c>
      <c r="O220" s="4"/>
      <c r="P220" s="4"/>
      <c r="Q220" s="4"/>
      <c r="R220" s="4"/>
      <c r="S220" s="4"/>
      <c r="T220" s="4"/>
      <c r="U220" s="4"/>
    </row>
    <row r="221" spans="1:21" ht="15.75" thickBot="1" x14ac:dyDescent="0.3">
      <c r="A221" s="9"/>
      <c r="B221" s="6">
        <v>284</v>
      </c>
      <c r="C221" s="13" t="s">
        <v>1028</v>
      </c>
      <c r="D221" s="6" t="s">
        <v>10</v>
      </c>
      <c r="E221" s="6" t="s">
        <v>11</v>
      </c>
      <c r="F221" s="6" t="s">
        <v>15</v>
      </c>
      <c r="G221" s="6">
        <v>132</v>
      </c>
      <c r="H221" s="6" t="s">
        <v>16</v>
      </c>
      <c r="I221" s="11"/>
      <c r="J221" s="4"/>
      <c r="K221" s="12"/>
      <c r="L221" s="4"/>
      <c r="M221" s="4"/>
      <c r="N221" s="4"/>
      <c r="O221" s="4"/>
      <c r="P221" s="4"/>
      <c r="Q221" s="4"/>
      <c r="R221" s="4"/>
      <c r="S221" s="4"/>
      <c r="T221" s="4"/>
      <c r="U221" s="4"/>
    </row>
    <row r="222" spans="1:21" ht="15.75" thickBot="1" x14ac:dyDescent="0.3">
      <c r="A222" s="8" t="s">
        <v>236</v>
      </c>
      <c r="B222" s="5">
        <v>269</v>
      </c>
      <c r="C222" s="14" t="s">
        <v>1029</v>
      </c>
      <c r="D222" s="5" t="s">
        <v>10</v>
      </c>
      <c r="E222" s="5" t="s">
        <v>11</v>
      </c>
      <c r="F222" s="5" t="s">
        <v>12</v>
      </c>
      <c r="G222" s="5">
        <v>103</v>
      </c>
      <c r="H222" s="5" t="s">
        <v>13</v>
      </c>
      <c r="I222" s="10" t="s">
        <v>237</v>
      </c>
      <c r="J222" s="4"/>
      <c r="K222" s="12">
        <f t="shared" ref="K222:K285" si="326">(C223-C222)*1000</f>
        <v>105.545</v>
      </c>
      <c r="L222" s="4"/>
      <c r="M222" s="12">
        <f t="shared" ref="M222:M285" si="327">K222-$L$2</f>
        <v>-8.0694265000000058</v>
      </c>
      <c r="N222" s="12">
        <f t="shared" ref="N222" si="328">M222^2</f>
        <v>65.115644038902346</v>
      </c>
      <c r="O222" s="4"/>
      <c r="P222" s="4"/>
      <c r="Q222" s="4"/>
      <c r="R222" s="4"/>
      <c r="S222" s="4"/>
      <c r="T222" s="4"/>
      <c r="U222" s="4"/>
    </row>
    <row r="223" spans="1:21" ht="15.75" thickBot="1" x14ac:dyDescent="0.3">
      <c r="A223" s="9"/>
      <c r="B223" s="6">
        <v>296</v>
      </c>
      <c r="C223" s="13" t="s">
        <v>1030</v>
      </c>
      <c r="D223" s="6" t="s">
        <v>10</v>
      </c>
      <c r="E223" s="6" t="s">
        <v>11</v>
      </c>
      <c r="F223" s="6" t="s">
        <v>15</v>
      </c>
      <c r="G223" s="6">
        <v>132</v>
      </c>
      <c r="H223" s="6" t="s">
        <v>16</v>
      </c>
      <c r="I223" s="11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</row>
    <row r="224" spans="1:21" ht="15.75" thickBot="1" x14ac:dyDescent="0.3">
      <c r="A224" s="8" t="s">
        <v>238</v>
      </c>
      <c r="B224" s="5">
        <v>297</v>
      </c>
      <c r="C224" s="14" t="s">
        <v>1031</v>
      </c>
      <c r="D224" s="5" t="s">
        <v>10</v>
      </c>
      <c r="E224" s="5" t="s">
        <v>11</v>
      </c>
      <c r="F224" s="5" t="s">
        <v>12</v>
      </c>
      <c r="G224" s="5">
        <v>103</v>
      </c>
      <c r="H224" s="5" t="s">
        <v>13</v>
      </c>
      <c r="I224" s="10" t="s">
        <v>239</v>
      </c>
      <c r="J224" s="4"/>
      <c r="K224" s="12">
        <f t="shared" ref="K224:K287" si="329">(C225-C224)*1000</f>
        <v>153.83229999999992</v>
      </c>
      <c r="L224" s="4"/>
      <c r="M224" s="12">
        <f t="shared" ref="M224:M287" si="330">K224-$L$2</f>
        <v>40.217873499999911</v>
      </c>
      <c r="N224" s="12">
        <f t="shared" ref="N224" si="331">M224^2</f>
        <v>1617.4773488619951</v>
      </c>
      <c r="O224" s="4"/>
      <c r="P224" s="4"/>
      <c r="Q224" s="4"/>
      <c r="R224" s="4"/>
      <c r="S224" s="4"/>
      <c r="T224" s="4"/>
      <c r="U224" s="4"/>
    </row>
    <row r="225" spans="1:21" ht="15.75" thickBot="1" x14ac:dyDescent="0.3">
      <c r="A225" s="9"/>
      <c r="B225" s="6">
        <v>336</v>
      </c>
      <c r="C225" s="13" t="s">
        <v>1032</v>
      </c>
      <c r="D225" s="6" t="s">
        <v>10</v>
      </c>
      <c r="E225" s="6" t="s">
        <v>11</v>
      </c>
      <c r="F225" s="6" t="s">
        <v>15</v>
      </c>
      <c r="G225" s="6">
        <v>132</v>
      </c>
      <c r="H225" s="6" t="s">
        <v>16</v>
      </c>
      <c r="I225" s="11"/>
      <c r="J225" s="4"/>
      <c r="K225" s="12"/>
      <c r="L225" s="4"/>
      <c r="M225" s="4"/>
      <c r="N225" s="4"/>
      <c r="O225" s="4"/>
      <c r="P225" s="4"/>
      <c r="Q225" s="4"/>
      <c r="R225" s="4"/>
      <c r="S225" s="4"/>
      <c r="T225" s="4"/>
      <c r="U225" s="4"/>
    </row>
    <row r="226" spans="1:21" ht="15.75" thickBot="1" x14ac:dyDescent="0.3">
      <c r="A226" s="8" t="s">
        <v>240</v>
      </c>
      <c r="B226" s="5">
        <v>279</v>
      </c>
      <c r="C226" s="14" t="s">
        <v>1033</v>
      </c>
      <c r="D226" s="5" t="s">
        <v>10</v>
      </c>
      <c r="E226" s="5" t="s">
        <v>11</v>
      </c>
      <c r="F226" s="5" t="s">
        <v>12</v>
      </c>
      <c r="G226" s="5">
        <v>103</v>
      </c>
      <c r="H226" s="5" t="s">
        <v>13</v>
      </c>
      <c r="I226" s="10" t="s">
        <v>241</v>
      </c>
      <c r="J226" s="4"/>
      <c r="K226" s="12">
        <f t="shared" ref="K226:K289" si="332">(C227-C226)*1000</f>
        <v>63.952600000000139</v>
      </c>
      <c r="L226" s="4"/>
      <c r="M226" s="12">
        <f t="shared" ref="M226:M289" si="333">K226-$L$2</f>
        <v>-49.661826499999869</v>
      </c>
      <c r="N226" s="12">
        <f t="shared" ref="N226" si="334">M226^2</f>
        <v>2466.2970113160891</v>
      </c>
      <c r="O226" s="4"/>
      <c r="P226" s="4"/>
      <c r="Q226" s="4"/>
      <c r="R226" s="4"/>
      <c r="S226" s="4"/>
      <c r="T226" s="4"/>
      <c r="U226" s="4"/>
    </row>
    <row r="227" spans="1:21" ht="15.75" thickBot="1" x14ac:dyDescent="0.3">
      <c r="A227" s="9"/>
      <c r="B227" s="6">
        <v>298</v>
      </c>
      <c r="C227" s="13" t="s">
        <v>1034</v>
      </c>
      <c r="D227" s="6" t="s">
        <v>10</v>
      </c>
      <c r="E227" s="6" t="s">
        <v>11</v>
      </c>
      <c r="F227" s="6" t="s">
        <v>15</v>
      </c>
      <c r="G227" s="6">
        <v>132</v>
      </c>
      <c r="H227" s="6" t="s">
        <v>16</v>
      </c>
      <c r="I227" s="11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</row>
    <row r="228" spans="1:21" ht="15.75" thickBot="1" x14ac:dyDescent="0.3">
      <c r="A228" s="8" t="s">
        <v>242</v>
      </c>
      <c r="B228" s="5">
        <v>250</v>
      </c>
      <c r="C228" s="14" t="s">
        <v>1035</v>
      </c>
      <c r="D228" s="5" t="s">
        <v>10</v>
      </c>
      <c r="E228" s="5" t="s">
        <v>11</v>
      </c>
      <c r="F228" s="5" t="s">
        <v>12</v>
      </c>
      <c r="G228" s="5">
        <v>103</v>
      </c>
      <c r="H228" s="5" t="s">
        <v>13</v>
      </c>
      <c r="I228" s="10" t="s">
        <v>243</v>
      </c>
      <c r="J228" s="4"/>
      <c r="K228" s="12">
        <f t="shared" ref="K228:K291" si="335">(C229-C228)*1000</f>
        <v>174.78269999999995</v>
      </c>
      <c r="L228" s="4"/>
      <c r="M228" s="12">
        <f t="shared" ref="M228:M291" si="336">K228-$L$2</f>
        <v>61.168273499999941</v>
      </c>
      <c r="N228" s="12">
        <f t="shared" ref="N228" si="337">M228^2</f>
        <v>3741.5576829707952</v>
      </c>
      <c r="O228" s="4"/>
      <c r="P228" s="4"/>
      <c r="Q228" s="4"/>
      <c r="R228" s="4"/>
      <c r="S228" s="4"/>
      <c r="T228" s="4"/>
      <c r="U228" s="4"/>
    </row>
    <row r="229" spans="1:21" ht="15.75" thickBot="1" x14ac:dyDescent="0.3">
      <c r="A229" s="9"/>
      <c r="B229" s="6">
        <v>295</v>
      </c>
      <c r="C229" s="13" t="s">
        <v>1036</v>
      </c>
      <c r="D229" s="6" t="s">
        <v>10</v>
      </c>
      <c r="E229" s="6" t="s">
        <v>11</v>
      </c>
      <c r="F229" s="6" t="s">
        <v>15</v>
      </c>
      <c r="G229" s="6">
        <v>132</v>
      </c>
      <c r="H229" s="6" t="s">
        <v>16</v>
      </c>
      <c r="I229" s="11"/>
      <c r="J229" s="4"/>
      <c r="K229" s="12"/>
      <c r="L229" s="4"/>
      <c r="M229" s="4"/>
      <c r="N229" s="4"/>
      <c r="O229" s="4"/>
      <c r="P229" s="4"/>
      <c r="Q229" s="4"/>
      <c r="R229" s="4"/>
      <c r="S229" s="4"/>
      <c r="T229" s="4"/>
      <c r="U229" s="4"/>
    </row>
    <row r="230" spans="1:21" ht="15.75" thickBot="1" x14ac:dyDescent="0.3">
      <c r="A230" s="8" t="s">
        <v>244</v>
      </c>
      <c r="B230" s="5">
        <v>265</v>
      </c>
      <c r="C230" s="14" t="s">
        <v>1037</v>
      </c>
      <c r="D230" s="5" t="s">
        <v>10</v>
      </c>
      <c r="E230" s="5" t="s">
        <v>11</v>
      </c>
      <c r="F230" s="5" t="s">
        <v>12</v>
      </c>
      <c r="G230" s="5">
        <v>103</v>
      </c>
      <c r="H230" s="5" t="s">
        <v>13</v>
      </c>
      <c r="I230" s="10" t="s">
        <v>245</v>
      </c>
      <c r="J230" s="4"/>
      <c r="K230" s="12">
        <f t="shared" ref="K230:K293" si="338">(C231-C230)*1000</f>
        <v>78.033699999999982</v>
      </c>
      <c r="L230" s="4"/>
      <c r="M230" s="12">
        <f t="shared" ref="M230:M293" si="339">K230-$L$2</f>
        <v>-35.580726500000026</v>
      </c>
      <c r="N230" s="12">
        <f t="shared" ref="N230" si="340">M230^2</f>
        <v>1265.9880982678042</v>
      </c>
      <c r="O230" s="4"/>
      <c r="P230" s="4"/>
      <c r="Q230" s="4"/>
      <c r="R230" s="4"/>
      <c r="S230" s="4"/>
      <c r="T230" s="4"/>
      <c r="U230" s="4"/>
    </row>
    <row r="231" spans="1:21" ht="15.75" thickBot="1" x14ac:dyDescent="0.3">
      <c r="A231" s="9"/>
      <c r="B231" s="6">
        <v>288</v>
      </c>
      <c r="C231" s="13" t="s">
        <v>1038</v>
      </c>
      <c r="D231" s="6" t="s">
        <v>10</v>
      </c>
      <c r="E231" s="6" t="s">
        <v>11</v>
      </c>
      <c r="F231" s="6" t="s">
        <v>15</v>
      </c>
      <c r="G231" s="6">
        <v>132</v>
      </c>
      <c r="H231" s="6" t="s">
        <v>16</v>
      </c>
      <c r="I231" s="11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</row>
    <row r="232" spans="1:21" ht="15.75" thickBot="1" x14ac:dyDescent="0.3">
      <c r="A232" s="8" t="s">
        <v>246</v>
      </c>
      <c r="B232" s="5">
        <v>257</v>
      </c>
      <c r="C232" s="14" t="s">
        <v>1039</v>
      </c>
      <c r="D232" s="5" t="s">
        <v>10</v>
      </c>
      <c r="E232" s="5" t="s">
        <v>11</v>
      </c>
      <c r="F232" s="5" t="s">
        <v>12</v>
      </c>
      <c r="G232" s="5">
        <v>103</v>
      </c>
      <c r="H232" s="5" t="s">
        <v>13</v>
      </c>
      <c r="I232" s="10" t="s">
        <v>247</v>
      </c>
      <c r="J232" s="4"/>
      <c r="K232" s="12">
        <f t="shared" ref="K232:K295" si="341">(C233-C232)*1000</f>
        <v>168.15639999999999</v>
      </c>
      <c r="L232" s="4"/>
      <c r="M232" s="12">
        <f t="shared" ref="M232:M295" si="342">K232-$L$2</f>
        <v>54.541973499999983</v>
      </c>
      <c r="N232" s="12">
        <f t="shared" ref="N232" si="343">M232^2</f>
        <v>2974.8268732747006</v>
      </c>
      <c r="O232" s="4"/>
      <c r="P232" s="4"/>
      <c r="Q232" s="4"/>
      <c r="R232" s="4"/>
      <c r="S232" s="4"/>
      <c r="T232" s="4"/>
      <c r="U232" s="4"/>
    </row>
    <row r="233" spans="1:21" ht="15.75" thickBot="1" x14ac:dyDescent="0.3">
      <c r="A233" s="9"/>
      <c r="B233" s="6">
        <v>302</v>
      </c>
      <c r="C233" s="13" t="s">
        <v>1040</v>
      </c>
      <c r="D233" s="6" t="s">
        <v>10</v>
      </c>
      <c r="E233" s="6" t="s">
        <v>11</v>
      </c>
      <c r="F233" s="6" t="s">
        <v>15</v>
      </c>
      <c r="G233" s="6">
        <v>132</v>
      </c>
      <c r="H233" s="6" t="s">
        <v>16</v>
      </c>
      <c r="I233" s="11"/>
      <c r="J233" s="4"/>
      <c r="K233" s="12"/>
      <c r="L233" s="4"/>
      <c r="M233" s="4"/>
      <c r="N233" s="4"/>
      <c r="O233" s="4"/>
      <c r="P233" s="4"/>
      <c r="Q233" s="4"/>
      <c r="R233" s="4"/>
      <c r="S233" s="4"/>
      <c r="T233" s="4"/>
      <c r="U233" s="4"/>
    </row>
    <row r="234" spans="1:21" ht="15.75" thickBot="1" x14ac:dyDescent="0.3">
      <c r="A234" s="8" t="s">
        <v>248</v>
      </c>
      <c r="B234" s="5">
        <v>335</v>
      </c>
      <c r="C234" s="14" t="s">
        <v>1041</v>
      </c>
      <c r="D234" s="5" t="s">
        <v>10</v>
      </c>
      <c r="E234" s="5" t="s">
        <v>11</v>
      </c>
      <c r="F234" s="5" t="s">
        <v>12</v>
      </c>
      <c r="G234" s="5">
        <v>103</v>
      </c>
      <c r="H234" s="5" t="s">
        <v>13</v>
      </c>
      <c r="I234" s="10" t="s">
        <v>249</v>
      </c>
      <c r="J234" s="4"/>
      <c r="K234" s="12">
        <f t="shared" ref="K234:K297" si="344">(C235-C234)*1000</f>
        <v>109.00860000000011</v>
      </c>
      <c r="L234" s="4"/>
      <c r="M234" s="12">
        <f t="shared" ref="M234:M297" si="345">K234-$L$2</f>
        <v>-4.6058264999998926</v>
      </c>
      <c r="N234" s="12">
        <f t="shared" ref="N234" si="346">M234^2</f>
        <v>21.213637748101259</v>
      </c>
      <c r="O234" s="4"/>
      <c r="P234" s="4"/>
      <c r="Q234" s="4"/>
      <c r="R234" s="4"/>
      <c r="S234" s="4"/>
      <c r="T234" s="4"/>
      <c r="U234" s="4"/>
    </row>
    <row r="235" spans="1:21" ht="15.75" thickBot="1" x14ac:dyDescent="0.3">
      <c r="A235" s="9"/>
      <c r="B235" s="6">
        <v>383</v>
      </c>
      <c r="C235" s="13" t="s">
        <v>1042</v>
      </c>
      <c r="D235" s="6" t="s">
        <v>10</v>
      </c>
      <c r="E235" s="6" t="s">
        <v>11</v>
      </c>
      <c r="F235" s="6" t="s">
        <v>15</v>
      </c>
      <c r="G235" s="6">
        <v>132</v>
      </c>
      <c r="H235" s="6" t="s">
        <v>16</v>
      </c>
      <c r="I235" s="11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</row>
    <row r="236" spans="1:21" ht="15.75" thickBot="1" x14ac:dyDescent="0.3">
      <c r="A236" s="8" t="s">
        <v>250</v>
      </c>
      <c r="B236" s="5">
        <v>236</v>
      </c>
      <c r="C236" s="14" t="s">
        <v>1043</v>
      </c>
      <c r="D236" s="5" t="s">
        <v>10</v>
      </c>
      <c r="E236" s="5" t="s">
        <v>11</v>
      </c>
      <c r="F236" s="5" t="s">
        <v>12</v>
      </c>
      <c r="G236" s="5">
        <v>103</v>
      </c>
      <c r="H236" s="5" t="s">
        <v>13</v>
      </c>
      <c r="I236" s="10" t="s">
        <v>251</v>
      </c>
      <c r="J236" s="4"/>
      <c r="K236" s="12">
        <f t="shared" ref="K236:K299" si="347">(C237-C236)*1000</f>
        <v>117.46839999999992</v>
      </c>
      <c r="L236" s="4"/>
      <c r="M236" s="12">
        <f t="shared" ref="M236:M299" si="348">K236-$L$2</f>
        <v>3.8539734999999098</v>
      </c>
      <c r="N236" s="12">
        <f t="shared" ref="N236" si="349">M236^2</f>
        <v>14.853111738701555</v>
      </c>
      <c r="O236" s="4"/>
      <c r="P236" s="4"/>
      <c r="Q236" s="4"/>
      <c r="R236" s="4"/>
      <c r="S236" s="4"/>
      <c r="T236" s="4"/>
      <c r="U236" s="4"/>
    </row>
    <row r="237" spans="1:21" ht="15.75" thickBot="1" x14ac:dyDescent="0.3">
      <c r="A237" s="9"/>
      <c r="B237" s="6">
        <v>268</v>
      </c>
      <c r="C237" s="13" t="s">
        <v>1044</v>
      </c>
      <c r="D237" s="6" t="s">
        <v>10</v>
      </c>
      <c r="E237" s="6" t="s">
        <v>11</v>
      </c>
      <c r="F237" s="6" t="s">
        <v>15</v>
      </c>
      <c r="G237" s="6">
        <v>132</v>
      </c>
      <c r="H237" s="6" t="s">
        <v>16</v>
      </c>
      <c r="I237" s="11"/>
      <c r="J237" s="4"/>
      <c r="K237" s="12"/>
      <c r="L237" s="4"/>
      <c r="M237" s="4"/>
      <c r="N237" s="4"/>
      <c r="O237" s="4"/>
      <c r="P237" s="4"/>
      <c r="Q237" s="4"/>
      <c r="R237" s="4"/>
      <c r="S237" s="4"/>
      <c r="T237" s="4"/>
      <c r="U237" s="4"/>
    </row>
    <row r="238" spans="1:21" ht="15.75" thickBot="1" x14ac:dyDescent="0.3">
      <c r="A238" s="8" t="s">
        <v>252</v>
      </c>
      <c r="B238" s="5">
        <v>247</v>
      </c>
      <c r="C238" s="14" t="s">
        <v>1045</v>
      </c>
      <c r="D238" s="5" t="s">
        <v>10</v>
      </c>
      <c r="E238" s="5" t="s">
        <v>11</v>
      </c>
      <c r="F238" s="5" t="s">
        <v>12</v>
      </c>
      <c r="G238" s="5">
        <v>103</v>
      </c>
      <c r="H238" s="5" t="s">
        <v>13</v>
      </c>
      <c r="I238" s="10" t="s">
        <v>253</v>
      </c>
      <c r="J238" s="4"/>
      <c r="K238" s="12">
        <f t="shared" ref="K238:K301" si="350">(C239-C238)*1000</f>
        <v>116.04370000000009</v>
      </c>
      <c r="L238" s="4"/>
      <c r="M238" s="12">
        <f t="shared" ref="M238:M301" si="351">K238-$L$2</f>
        <v>2.4292735000000789</v>
      </c>
      <c r="N238" s="12">
        <f t="shared" ref="N238" si="352">M238^2</f>
        <v>5.9013697378026331</v>
      </c>
      <c r="O238" s="4"/>
      <c r="P238" s="4"/>
      <c r="Q238" s="4"/>
      <c r="R238" s="4"/>
      <c r="S238" s="4"/>
      <c r="T238" s="4"/>
      <c r="U238" s="4"/>
    </row>
    <row r="239" spans="1:21" ht="15.75" thickBot="1" x14ac:dyDescent="0.3">
      <c r="A239" s="9"/>
      <c r="B239" s="6">
        <v>277</v>
      </c>
      <c r="C239" s="13" t="s">
        <v>1046</v>
      </c>
      <c r="D239" s="6" t="s">
        <v>10</v>
      </c>
      <c r="E239" s="6" t="s">
        <v>11</v>
      </c>
      <c r="F239" s="6" t="s">
        <v>15</v>
      </c>
      <c r="G239" s="6">
        <v>132</v>
      </c>
      <c r="H239" s="6" t="s">
        <v>16</v>
      </c>
      <c r="I239" s="11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</row>
    <row r="240" spans="1:21" ht="15.75" thickBot="1" x14ac:dyDescent="0.3">
      <c r="A240" s="8" t="s">
        <v>254</v>
      </c>
      <c r="B240" s="5">
        <v>202</v>
      </c>
      <c r="C240" s="14" t="s">
        <v>1047</v>
      </c>
      <c r="D240" s="5" t="s">
        <v>10</v>
      </c>
      <c r="E240" s="5" t="s">
        <v>11</v>
      </c>
      <c r="F240" s="5" t="s">
        <v>12</v>
      </c>
      <c r="G240" s="5">
        <v>103</v>
      </c>
      <c r="H240" s="5" t="s">
        <v>13</v>
      </c>
      <c r="I240" s="10" t="s">
        <v>255</v>
      </c>
      <c r="J240" s="4"/>
      <c r="K240" s="12">
        <f t="shared" ref="K240:K303" si="353">(C241-C240)*1000</f>
        <v>111.07729999999994</v>
      </c>
      <c r="L240" s="4"/>
      <c r="M240" s="12">
        <f t="shared" ref="M240:M303" si="354">K240-$L$2</f>
        <v>-2.5371265000000705</v>
      </c>
      <c r="N240" s="12">
        <f t="shared" ref="N240" si="355">M240^2</f>
        <v>6.4370108770026073</v>
      </c>
      <c r="O240" s="4"/>
      <c r="P240" s="4"/>
      <c r="Q240" s="4"/>
      <c r="R240" s="4"/>
      <c r="S240" s="4"/>
      <c r="T240" s="4"/>
      <c r="U240" s="4"/>
    </row>
    <row r="241" spans="1:21" ht="15.75" thickBot="1" x14ac:dyDescent="0.3">
      <c r="A241" s="9"/>
      <c r="B241" s="6">
        <v>229</v>
      </c>
      <c r="C241" s="13" t="s">
        <v>1048</v>
      </c>
      <c r="D241" s="6" t="s">
        <v>10</v>
      </c>
      <c r="E241" s="6" t="s">
        <v>11</v>
      </c>
      <c r="F241" s="6" t="s">
        <v>15</v>
      </c>
      <c r="G241" s="6">
        <v>132</v>
      </c>
      <c r="H241" s="6" t="s">
        <v>16</v>
      </c>
      <c r="I241" s="11"/>
      <c r="J241" s="4"/>
      <c r="K241" s="12"/>
      <c r="L241" s="4"/>
      <c r="M241" s="4"/>
      <c r="N241" s="4"/>
      <c r="O241" s="4"/>
      <c r="P241" s="4"/>
      <c r="Q241" s="4"/>
      <c r="R241" s="4"/>
      <c r="S241" s="4"/>
      <c r="T241" s="4"/>
      <c r="U241" s="4"/>
    </row>
    <row r="242" spans="1:21" ht="15.75" thickBot="1" x14ac:dyDescent="0.3">
      <c r="A242" s="8" t="s">
        <v>256</v>
      </c>
      <c r="B242" s="5">
        <v>247</v>
      </c>
      <c r="C242" s="14" t="s">
        <v>1049</v>
      </c>
      <c r="D242" s="5" t="s">
        <v>10</v>
      </c>
      <c r="E242" s="5" t="s">
        <v>11</v>
      </c>
      <c r="F242" s="5" t="s">
        <v>12</v>
      </c>
      <c r="G242" s="5">
        <v>103</v>
      </c>
      <c r="H242" s="5" t="s">
        <v>13</v>
      </c>
      <c r="I242" s="10" t="s">
        <v>257</v>
      </c>
      <c r="J242" s="4"/>
      <c r="K242" s="12">
        <f t="shared" ref="K242:K305" si="356">(C243-C242)*1000</f>
        <v>139.39469999999997</v>
      </c>
      <c r="L242" s="4"/>
      <c r="M242" s="12">
        <f t="shared" ref="M242:M305" si="357">K242-$L$2</f>
        <v>25.780273499999964</v>
      </c>
      <c r="N242" s="12">
        <f t="shared" ref="N242" si="358">M242^2</f>
        <v>664.62250173480038</v>
      </c>
      <c r="O242" s="4"/>
      <c r="P242" s="4"/>
      <c r="Q242" s="4"/>
      <c r="R242" s="4"/>
      <c r="S242" s="4"/>
      <c r="T242" s="4"/>
      <c r="U242" s="4"/>
    </row>
    <row r="243" spans="1:21" ht="15.75" thickBot="1" x14ac:dyDescent="0.3">
      <c r="A243" s="9"/>
      <c r="B243" s="6">
        <v>286</v>
      </c>
      <c r="C243" s="13" t="s">
        <v>1050</v>
      </c>
      <c r="D243" s="6" t="s">
        <v>10</v>
      </c>
      <c r="E243" s="6" t="s">
        <v>11</v>
      </c>
      <c r="F243" s="6" t="s">
        <v>15</v>
      </c>
      <c r="G243" s="6">
        <v>132</v>
      </c>
      <c r="H243" s="6" t="s">
        <v>16</v>
      </c>
      <c r="I243" s="11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</row>
    <row r="244" spans="1:21" ht="15.75" thickBot="1" x14ac:dyDescent="0.3">
      <c r="A244" s="8" t="s">
        <v>258</v>
      </c>
      <c r="B244" s="5">
        <v>279</v>
      </c>
      <c r="C244" s="14" t="s">
        <v>1051</v>
      </c>
      <c r="D244" s="5" t="s">
        <v>10</v>
      </c>
      <c r="E244" s="5" t="s">
        <v>11</v>
      </c>
      <c r="F244" s="5" t="s">
        <v>12</v>
      </c>
      <c r="G244" s="5">
        <v>103</v>
      </c>
      <c r="H244" s="5" t="s">
        <v>13</v>
      </c>
      <c r="I244" s="10" t="s">
        <v>259</v>
      </c>
      <c r="J244" s="4"/>
      <c r="K244" s="12">
        <f t="shared" ref="K244:K307" si="359">(C245-C244)*1000</f>
        <v>53.544299999999993</v>
      </c>
      <c r="L244" s="4"/>
      <c r="M244" s="12">
        <f t="shared" ref="M244:M307" si="360">K244-$L$2</f>
        <v>-60.070126500000015</v>
      </c>
      <c r="N244" s="12">
        <f t="shared" ref="N244" si="361">M244^2</f>
        <v>3608.4200977260039</v>
      </c>
      <c r="O244" s="4"/>
      <c r="P244" s="4"/>
      <c r="Q244" s="4"/>
      <c r="R244" s="4"/>
      <c r="S244" s="4"/>
      <c r="T244" s="4"/>
      <c r="U244" s="4"/>
    </row>
    <row r="245" spans="1:21" ht="15.75" thickBot="1" x14ac:dyDescent="0.3">
      <c r="A245" s="9"/>
      <c r="B245" s="6">
        <v>299</v>
      </c>
      <c r="C245" s="13" t="s">
        <v>1052</v>
      </c>
      <c r="D245" s="6" t="s">
        <v>10</v>
      </c>
      <c r="E245" s="6" t="s">
        <v>11</v>
      </c>
      <c r="F245" s="6" t="s">
        <v>15</v>
      </c>
      <c r="G245" s="6">
        <v>132</v>
      </c>
      <c r="H245" s="6" t="s">
        <v>16</v>
      </c>
      <c r="I245" s="11"/>
      <c r="J245" s="4"/>
      <c r="K245" s="12"/>
      <c r="L245" s="4"/>
      <c r="M245" s="4"/>
      <c r="N245" s="4"/>
      <c r="O245" s="4"/>
      <c r="P245" s="4"/>
      <c r="Q245" s="4"/>
      <c r="R245" s="4"/>
      <c r="S245" s="4"/>
      <c r="T245" s="4"/>
      <c r="U245" s="4"/>
    </row>
    <row r="246" spans="1:21" ht="15.75" thickBot="1" x14ac:dyDescent="0.3">
      <c r="A246" s="8" t="s">
        <v>260</v>
      </c>
      <c r="B246" s="5">
        <v>242</v>
      </c>
      <c r="C246" s="14" t="s">
        <v>1053</v>
      </c>
      <c r="D246" s="5" t="s">
        <v>10</v>
      </c>
      <c r="E246" s="5" t="s">
        <v>11</v>
      </c>
      <c r="F246" s="5" t="s">
        <v>12</v>
      </c>
      <c r="G246" s="5">
        <v>103</v>
      </c>
      <c r="H246" s="5" t="s">
        <v>13</v>
      </c>
      <c r="I246" s="10" t="s">
        <v>261</v>
      </c>
      <c r="J246" s="4"/>
      <c r="K246" s="12">
        <f t="shared" ref="K246:K309" si="362">(C247-C246)*1000</f>
        <v>95.390000000000086</v>
      </c>
      <c r="L246" s="4"/>
      <c r="M246" s="12">
        <f t="shared" ref="M246:M309" si="363">K246-$L$2</f>
        <v>-18.224426499999922</v>
      </c>
      <c r="N246" s="12">
        <f t="shared" ref="N246" si="364">M246^2</f>
        <v>332.12972125389939</v>
      </c>
      <c r="O246" s="4"/>
      <c r="P246" s="4"/>
      <c r="Q246" s="4"/>
      <c r="R246" s="4"/>
      <c r="S246" s="4"/>
      <c r="T246" s="4"/>
      <c r="U246" s="4"/>
    </row>
    <row r="247" spans="1:21" ht="15.75" thickBot="1" x14ac:dyDescent="0.3">
      <c r="A247" s="9"/>
      <c r="B247" s="6">
        <v>268</v>
      </c>
      <c r="C247" s="13" t="s">
        <v>1054</v>
      </c>
      <c r="D247" s="6" t="s">
        <v>10</v>
      </c>
      <c r="E247" s="6" t="s">
        <v>11</v>
      </c>
      <c r="F247" s="6" t="s">
        <v>15</v>
      </c>
      <c r="G247" s="6">
        <v>132</v>
      </c>
      <c r="H247" s="6" t="s">
        <v>16</v>
      </c>
      <c r="I247" s="11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</row>
    <row r="248" spans="1:21" ht="15.75" thickBot="1" x14ac:dyDescent="0.3">
      <c r="A248" s="8" t="s">
        <v>262</v>
      </c>
      <c r="B248" s="5">
        <v>264</v>
      </c>
      <c r="C248" s="14" t="s">
        <v>1055</v>
      </c>
      <c r="D248" s="5" t="s">
        <v>10</v>
      </c>
      <c r="E248" s="5" t="s">
        <v>11</v>
      </c>
      <c r="F248" s="5" t="s">
        <v>12</v>
      </c>
      <c r="G248" s="5">
        <v>103</v>
      </c>
      <c r="H248" s="5" t="s">
        <v>13</v>
      </c>
      <c r="I248" s="10" t="s">
        <v>263</v>
      </c>
      <c r="J248" s="4"/>
      <c r="K248" s="12">
        <f t="shared" ref="K248:K311" si="365">(C249-C248)*1000</f>
        <v>161.04570000000007</v>
      </c>
      <c r="L248" s="4"/>
      <c r="M248" s="12">
        <f t="shared" ref="M248:M311" si="366">K248-$L$2</f>
        <v>47.43127350000006</v>
      </c>
      <c r="N248" s="12">
        <f t="shared" ref="N248" si="367">M248^2</f>
        <v>2249.7257058318078</v>
      </c>
      <c r="O248" s="4"/>
      <c r="P248" s="4"/>
      <c r="Q248" s="4"/>
      <c r="R248" s="4"/>
      <c r="S248" s="4"/>
      <c r="T248" s="4"/>
      <c r="U248" s="4"/>
    </row>
    <row r="249" spans="1:21" ht="15.75" thickBot="1" x14ac:dyDescent="0.3">
      <c r="A249" s="9"/>
      <c r="B249" s="6">
        <v>309</v>
      </c>
      <c r="C249" s="13" t="s">
        <v>1056</v>
      </c>
      <c r="D249" s="6" t="s">
        <v>10</v>
      </c>
      <c r="E249" s="6" t="s">
        <v>11</v>
      </c>
      <c r="F249" s="6" t="s">
        <v>15</v>
      </c>
      <c r="G249" s="6">
        <v>132</v>
      </c>
      <c r="H249" s="6" t="s">
        <v>16</v>
      </c>
      <c r="I249" s="11"/>
      <c r="J249" s="4"/>
      <c r="K249" s="12"/>
      <c r="L249" s="4"/>
      <c r="M249" s="4"/>
      <c r="N249" s="4"/>
      <c r="O249" s="4"/>
      <c r="P249" s="4"/>
      <c r="Q249" s="4"/>
      <c r="R249" s="4"/>
      <c r="S249" s="4"/>
      <c r="T249" s="4"/>
      <c r="U249" s="4"/>
    </row>
    <row r="250" spans="1:21" ht="15.75" thickBot="1" x14ac:dyDescent="0.3">
      <c r="A250" s="8" t="s">
        <v>264</v>
      </c>
      <c r="B250" s="5">
        <v>220</v>
      </c>
      <c r="C250" s="14" t="s">
        <v>1057</v>
      </c>
      <c r="D250" s="5" t="s">
        <v>10</v>
      </c>
      <c r="E250" s="5" t="s">
        <v>11</v>
      </c>
      <c r="F250" s="5" t="s">
        <v>12</v>
      </c>
      <c r="G250" s="5">
        <v>103</v>
      </c>
      <c r="H250" s="5" t="s">
        <v>13</v>
      </c>
      <c r="I250" s="10" t="s">
        <v>265</v>
      </c>
      <c r="J250" s="4"/>
      <c r="K250" s="12">
        <f t="shared" ref="K250:K313" si="368">(C251-C250)*1000</f>
        <v>167.44110000000012</v>
      </c>
      <c r="L250" s="4"/>
      <c r="M250" s="12">
        <f t="shared" ref="M250:M313" si="369">K250-$L$2</f>
        <v>53.826673500000112</v>
      </c>
      <c r="N250" s="12">
        <f t="shared" ref="N250" si="370">M250^2</f>
        <v>2897.3107800756143</v>
      </c>
      <c r="O250" s="4"/>
      <c r="P250" s="4"/>
      <c r="Q250" s="4"/>
      <c r="R250" s="4"/>
      <c r="S250" s="4"/>
      <c r="T250" s="4"/>
      <c r="U250" s="4"/>
    </row>
    <row r="251" spans="1:21" ht="15.75" thickBot="1" x14ac:dyDescent="0.3">
      <c r="A251" s="9"/>
      <c r="B251" s="6">
        <v>280</v>
      </c>
      <c r="C251" s="13" t="s">
        <v>1058</v>
      </c>
      <c r="D251" s="6" t="s">
        <v>10</v>
      </c>
      <c r="E251" s="6" t="s">
        <v>11</v>
      </c>
      <c r="F251" s="6" t="s">
        <v>15</v>
      </c>
      <c r="G251" s="6">
        <v>132</v>
      </c>
      <c r="H251" s="6" t="s">
        <v>16</v>
      </c>
      <c r="I251" s="11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</row>
    <row r="252" spans="1:21" ht="15.75" thickBot="1" x14ac:dyDescent="0.3">
      <c r="A252" s="8" t="s">
        <v>266</v>
      </c>
      <c r="B252" s="5">
        <v>251</v>
      </c>
      <c r="C252" s="14" t="s">
        <v>1059</v>
      </c>
      <c r="D252" s="5" t="s">
        <v>10</v>
      </c>
      <c r="E252" s="5" t="s">
        <v>11</v>
      </c>
      <c r="F252" s="5" t="s">
        <v>12</v>
      </c>
      <c r="G252" s="5">
        <v>103</v>
      </c>
      <c r="H252" s="5" t="s">
        <v>13</v>
      </c>
      <c r="I252" s="10" t="s">
        <v>267</v>
      </c>
      <c r="J252" s="4"/>
      <c r="K252" s="12">
        <f t="shared" ref="K252:K315" si="371">(C253-C252)*1000</f>
        <v>104.42869999999994</v>
      </c>
      <c r="L252" s="4"/>
      <c r="M252" s="12">
        <f t="shared" ref="M252:M315" si="372">K252-$L$2</f>
        <v>-9.1857265000000723</v>
      </c>
      <c r="N252" s="12">
        <f t="shared" ref="N252" si="373">M252^2</f>
        <v>84.377571332803583</v>
      </c>
      <c r="O252" s="4"/>
      <c r="P252" s="4"/>
      <c r="Q252" s="4"/>
      <c r="R252" s="4"/>
      <c r="S252" s="4"/>
      <c r="T252" s="4"/>
      <c r="U252" s="4"/>
    </row>
    <row r="253" spans="1:21" ht="15.75" thickBot="1" x14ac:dyDescent="0.3">
      <c r="A253" s="9"/>
      <c r="B253" s="6">
        <v>279</v>
      </c>
      <c r="C253" s="13" t="s">
        <v>1060</v>
      </c>
      <c r="D253" s="6" t="s">
        <v>10</v>
      </c>
      <c r="E253" s="6" t="s">
        <v>11</v>
      </c>
      <c r="F253" s="6" t="s">
        <v>15</v>
      </c>
      <c r="G253" s="6">
        <v>132</v>
      </c>
      <c r="H253" s="6" t="s">
        <v>16</v>
      </c>
      <c r="I253" s="11"/>
      <c r="J253" s="4"/>
      <c r="K253" s="12"/>
      <c r="L253" s="4"/>
      <c r="M253" s="4"/>
      <c r="N253" s="4"/>
      <c r="O253" s="4"/>
      <c r="P253" s="4"/>
      <c r="Q253" s="4"/>
      <c r="R253" s="4"/>
      <c r="S253" s="4"/>
      <c r="T253" s="4"/>
      <c r="U253" s="4"/>
    </row>
    <row r="254" spans="1:21" ht="15.75" thickBot="1" x14ac:dyDescent="0.3">
      <c r="A254" s="8" t="s">
        <v>268</v>
      </c>
      <c r="B254" s="5">
        <v>222</v>
      </c>
      <c r="C254" s="14" t="s">
        <v>1061</v>
      </c>
      <c r="D254" s="5" t="s">
        <v>10</v>
      </c>
      <c r="E254" s="5" t="s">
        <v>11</v>
      </c>
      <c r="F254" s="5" t="s">
        <v>12</v>
      </c>
      <c r="G254" s="5">
        <v>103</v>
      </c>
      <c r="H254" s="5" t="s">
        <v>13</v>
      </c>
      <c r="I254" s="10" t="s">
        <v>269</v>
      </c>
      <c r="J254" s="4"/>
      <c r="K254" s="12">
        <f t="shared" ref="K254:K317" si="374">(C255-C254)*1000</f>
        <v>160.87280000000004</v>
      </c>
      <c r="L254" s="4"/>
      <c r="M254" s="12">
        <f t="shared" ref="M254:M317" si="375">K254-$L$2</f>
        <v>47.258373500000033</v>
      </c>
      <c r="N254" s="12">
        <f t="shared" ref="N254" si="376">M254^2</f>
        <v>2233.3538658655052</v>
      </c>
      <c r="O254" s="4"/>
      <c r="P254" s="4"/>
      <c r="Q254" s="4"/>
      <c r="R254" s="4"/>
      <c r="S254" s="4"/>
      <c r="T254" s="4"/>
      <c r="U254" s="4"/>
    </row>
    <row r="255" spans="1:21" ht="15.75" thickBot="1" x14ac:dyDescent="0.3">
      <c r="A255" s="9"/>
      <c r="B255" s="6">
        <v>266</v>
      </c>
      <c r="C255" s="13" t="s">
        <v>1062</v>
      </c>
      <c r="D255" s="6" t="s">
        <v>10</v>
      </c>
      <c r="E255" s="6" t="s">
        <v>11</v>
      </c>
      <c r="F255" s="6" t="s">
        <v>15</v>
      </c>
      <c r="G255" s="6">
        <v>132</v>
      </c>
      <c r="H255" s="6" t="s">
        <v>16</v>
      </c>
      <c r="I255" s="11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</row>
    <row r="256" spans="1:21" ht="15.75" thickBot="1" x14ac:dyDescent="0.3">
      <c r="A256" s="8" t="s">
        <v>270</v>
      </c>
      <c r="B256" s="5">
        <v>215</v>
      </c>
      <c r="C256" s="14" t="s">
        <v>1064</v>
      </c>
      <c r="D256" s="5" t="s">
        <v>10</v>
      </c>
      <c r="E256" s="5" t="s">
        <v>11</v>
      </c>
      <c r="F256" s="5" t="s">
        <v>12</v>
      </c>
      <c r="G256" s="5">
        <v>103</v>
      </c>
      <c r="H256" s="5" t="s">
        <v>13</v>
      </c>
      <c r="I256" s="10" t="s">
        <v>271</v>
      </c>
      <c r="J256" s="4"/>
      <c r="K256" s="12">
        <f t="shared" ref="K256:K319" si="377">(C257-C256)*1000</f>
        <v>142.30900000000014</v>
      </c>
      <c r="L256" s="4"/>
      <c r="M256" s="12">
        <f t="shared" ref="M256:M319" si="378">K256-$L$2</f>
        <v>28.694573500000132</v>
      </c>
      <c r="N256" s="12">
        <f t="shared" ref="N256" si="379">M256^2</f>
        <v>823.37854834690984</v>
      </c>
      <c r="O256" s="4"/>
      <c r="P256" s="4"/>
      <c r="Q256" s="4"/>
      <c r="R256" s="4"/>
      <c r="S256" s="4"/>
      <c r="T256" s="4"/>
      <c r="U256" s="4"/>
    </row>
    <row r="257" spans="1:21" ht="15.75" thickBot="1" x14ac:dyDescent="0.3">
      <c r="A257" s="9"/>
      <c r="B257" s="6">
        <v>256</v>
      </c>
      <c r="C257" s="13" t="s">
        <v>1063</v>
      </c>
      <c r="D257" s="6" t="s">
        <v>10</v>
      </c>
      <c r="E257" s="6" t="s">
        <v>11</v>
      </c>
      <c r="F257" s="6" t="s">
        <v>15</v>
      </c>
      <c r="G257" s="6">
        <v>132</v>
      </c>
      <c r="H257" s="6" t="s">
        <v>16</v>
      </c>
      <c r="I257" s="11"/>
      <c r="J257" s="4"/>
      <c r="K257" s="12"/>
      <c r="L257" s="4"/>
      <c r="M257" s="4"/>
      <c r="N257" s="4"/>
      <c r="O257" s="4"/>
      <c r="P257" s="4"/>
      <c r="Q257" s="4"/>
      <c r="R257" s="4"/>
      <c r="S257" s="4"/>
      <c r="T257" s="4"/>
      <c r="U257" s="4"/>
    </row>
    <row r="258" spans="1:21" ht="15.75" thickBot="1" x14ac:dyDescent="0.3">
      <c r="A258" s="8" t="s">
        <v>272</v>
      </c>
      <c r="B258" s="5">
        <v>247</v>
      </c>
      <c r="C258" s="14" t="s">
        <v>1065</v>
      </c>
      <c r="D258" s="5" t="s">
        <v>10</v>
      </c>
      <c r="E258" s="5" t="s">
        <v>11</v>
      </c>
      <c r="F258" s="5" t="s">
        <v>12</v>
      </c>
      <c r="G258" s="5">
        <v>103</v>
      </c>
      <c r="H258" s="5" t="s">
        <v>13</v>
      </c>
      <c r="I258" s="10" t="s">
        <v>273</v>
      </c>
      <c r="J258" s="4"/>
      <c r="K258" s="12">
        <f t="shared" ref="K258:K321" si="380">(C259-C258)*1000</f>
        <v>78.577400000000125</v>
      </c>
      <c r="L258" s="4"/>
      <c r="M258" s="12">
        <f t="shared" ref="M258:M321" si="381">K258-$L$2</f>
        <v>-35.037026499999882</v>
      </c>
      <c r="N258" s="12">
        <f t="shared" ref="N258" si="382">M258^2</f>
        <v>1227.5932259616941</v>
      </c>
      <c r="O258" s="4"/>
      <c r="P258" s="4"/>
      <c r="Q258" s="4"/>
      <c r="R258" s="4"/>
      <c r="S258" s="4"/>
      <c r="T258" s="4"/>
      <c r="U258" s="4"/>
    </row>
    <row r="259" spans="1:21" ht="15.75" thickBot="1" x14ac:dyDescent="0.3">
      <c r="A259" s="9"/>
      <c r="B259" s="6">
        <v>273</v>
      </c>
      <c r="C259" s="13" t="s">
        <v>1066</v>
      </c>
      <c r="D259" s="6" t="s">
        <v>10</v>
      </c>
      <c r="E259" s="6" t="s">
        <v>11</v>
      </c>
      <c r="F259" s="6" t="s">
        <v>15</v>
      </c>
      <c r="G259" s="6">
        <v>132</v>
      </c>
      <c r="H259" s="6" t="s">
        <v>16</v>
      </c>
      <c r="I259" s="11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</row>
    <row r="260" spans="1:21" ht="15.75" thickBot="1" x14ac:dyDescent="0.3">
      <c r="A260" s="8" t="s">
        <v>274</v>
      </c>
      <c r="B260" s="5">
        <v>260</v>
      </c>
      <c r="C260" s="14" t="s">
        <v>1067</v>
      </c>
      <c r="D260" s="5" t="s">
        <v>10</v>
      </c>
      <c r="E260" s="5" t="s">
        <v>11</v>
      </c>
      <c r="F260" s="5" t="s">
        <v>12</v>
      </c>
      <c r="G260" s="5">
        <v>103</v>
      </c>
      <c r="H260" s="5" t="s">
        <v>13</v>
      </c>
      <c r="I260" s="10" t="s">
        <v>275</v>
      </c>
      <c r="J260" s="4"/>
      <c r="K260" s="12">
        <f t="shared" ref="K260:K323" si="383">(C261-C260)*1000</f>
        <v>132.59099999999989</v>
      </c>
      <c r="L260" s="4"/>
      <c r="M260" s="12">
        <f t="shared" ref="M260:M323" si="384">K260-$L$2</f>
        <v>18.976573499999887</v>
      </c>
      <c r="N260" s="12">
        <f t="shared" ref="N260" si="385">M260^2</f>
        <v>360.11034180089797</v>
      </c>
      <c r="O260" s="4"/>
      <c r="P260" s="4"/>
      <c r="Q260" s="4"/>
      <c r="R260" s="4"/>
      <c r="S260" s="4"/>
      <c r="T260" s="4"/>
      <c r="U260" s="4"/>
    </row>
    <row r="261" spans="1:21" ht="15.75" thickBot="1" x14ac:dyDescent="0.3">
      <c r="A261" s="9"/>
      <c r="B261" s="6">
        <v>296</v>
      </c>
      <c r="C261" s="13" t="s">
        <v>1068</v>
      </c>
      <c r="D261" s="6" t="s">
        <v>10</v>
      </c>
      <c r="E261" s="6" t="s">
        <v>11</v>
      </c>
      <c r="F261" s="6" t="s">
        <v>15</v>
      </c>
      <c r="G261" s="6">
        <v>132</v>
      </c>
      <c r="H261" s="6" t="s">
        <v>16</v>
      </c>
      <c r="I261" s="11"/>
      <c r="J261" s="4"/>
      <c r="K261" s="12"/>
      <c r="L261" s="4"/>
      <c r="M261" s="4"/>
      <c r="N261" s="4"/>
      <c r="O261" s="4"/>
      <c r="P261" s="4"/>
      <c r="Q261" s="4"/>
      <c r="R261" s="4"/>
      <c r="S261" s="4"/>
      <c r="T261" s="4"/>
      <c r="U261" s="4"/>
    </row>
    <row r="262" spans="1:21" ht="15.75" thickBot="1" x14ac:dyDescent="0.3">
      <c r="A262" s="8" t="s">
        <v>276</v>
      </c>
      <c r="B262" s="5">
        <v>223</v>
      </c>
      <c r="C262" s="14" t="s">
        <v>1069</v>
      </c>
      <c r="D262" s="5" t="s">
        <v>10</v>
      </c>
      <c r="E262" s="5" t="s">
        <v>11</v>
      </c>
      <c r="F262" s="5" t="s">
        <v>12</v>
      </c>
      <c r="G262" s="5">
        <v>103</v>
      </c>
      <c r="H262" s="5" t="s">
        <v>13</v>
      </c>
      <c r="I262" s="10" t="s">
        <v>277</v>
      </c>
      <c r="J262" s="4"/>
      <c r="K262" s="12">
        <f t="shared" ref="K262:K325" si="386">(C263-C262)*1000</f>
        <v>169.13299999999998</v>
      </c>
      <c r="L262" s="4"/>
      <c r="M262" s="12">
        <f t="shared" ref="M262:M325" si="387">K262-$L$2</f>
        <v>55.518573499999974</v>
      </c>
      <c r="N262" s="12">
        <f t="shared" ref="N262" si="388">M262^2</f>
        <v>3082.3120034748995</v>
      </c>
      <c r="O262" s="4"/>
      <c r="P262" s="4"/>
      <c r="Q262" s="4"/>
      <c r="R262" s="4"/>
      <c r="S262" s="4"/>
      <c r="T262" s="4"/>
      <c r="U262" s="4"/>
    </row>
    <row r="263" spans="1:21" ht="15.75" thickBot="1" x14ac:dyDescent="0.3">
      <c r="A263" s="9"/>
      <c r="B263" s="6">
        <v>271</v>
      </c>
      <c r="C263" s="13" t="s">
        <v>1070</v>
      </c>
      <c r="D263" s="6" t="s">
        <v>10</v>
      </c>
      <c r="E263" s="6" t="s">
        <v>11</v>
      </c>
      <c r="F263" s="6" t="s">
        <v>15</v>
      </c>
      <c r="G263" s="6">
        <v>132</v>
      </c>
      <c r="H263" s="6" t="s">
        <v>16</v>
      </c>
      <c r="I263" s="11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</row>
    <row r="264" spans="1:21" ht="15.75" thickBot="1" x14ac:dyDescent="0.3">
      <c r="A264" s="8" t="s">
        <v>278</v>
      </c>
      <c r="B264" s="5">
        <v>253</v>
      </c>
      <c r="C264" s="14" t="s">
        <v>1071</v>
      </c>
      <c r="D264" s="5" t="s">
        <v>10</v>
      </c>
      <c r="E264" s="5" t="s">
        <v>11</v>
      </c>
      <c r="F264" s="5" t="s">
        <v>12</v>
      </c>
      <c r="G264" s="5">
        <v>103</v>
      </c>
      <c r="H264" s="5" t="s">
        <v>13</v>
      </c>
      <c r="I264" s="10" t="s">
        <v>279</v>
      </c>
      <c r="J264" s="4"/>
      <c r="K264" s="12">
        <f t="shared" ref="K264:K327" si="389">(C265-C264)*1000</f>
        <v>74.976200000000048</v>
      </c>
      <c r="L264" s="4"/>
      <c r="M264" s="12">
        <f t="shared" ref="M264:M327" si="390">K264-$L$2</f>
        <v>-38.638226499999959</v>
      </c>
      <c r="N264" s="12">
        <f t="shared" ref="N264" si="391">M264^2</f>
        <v>1492.9125470652991</v>
      </c>
      <c r="O264" s="4"/>
      <c r="P264" s="4"/>
      <c r="Q264" s="4"/>
      <c r="R264" s="4"/>
      <c r="S264" s="4"/>
      <c r="T264" s="4"/>
      <c r="U264" s="4"/>
    </row>
    <row r="265" spans="1:21" ht="15.75" thickBot="1" x14ac:dyDescent="0.3">
      <c r="A265" s="9"/>
      <c r="B265" s="6">
        <v>277</v>
      </c>
      <c r="C265" s="13" t="s">
        <v>1072</v>
      </c>
      <c r="D265" s="6" t="s">
        <v>10</v>
      </c>
      <c r="E265" s="6" t="s">
        <v>11</v>
      </c>
      <c r="F265" s="6" t="s">
        <v>15</v>
      </c>
      <c r="G265" s="6">
        <v>132</v>
      </c>
      <c r="H265" s="6" t="s">
        <v>16</v>
      </c>
      <c r="I265" s="11"/>
      <c r="J265" s="4"/>
      <c r="K265" s="12"/>
      <c r="L265" s="4"/>
      <c r="M265" s="4"/>
      <c r="N265" s="4"/>
      <c r="O265" s="4"/>
      <c r="P265" s="4"/>
      <c r="Q265" s="4"/>
      <c r="R265" s="4"/>
      <c r="S265" s="4"/>
      <c r="T265" s="4"/>
      <c r="U265" s="4"/>
    </row>
    <row r="266" spans="1:21" ht="15.75" thickBot="1" x14ac:dyDescent="0.3">
      <c r="A266" s="8" t="s">
        <v>280</v>
      </c>
      <c r="B266" s="5">
        <v>290</v>
      </c>
      <c r="C266" s="14" t="s">
        <v>1073</v>
      </c>
      <c r="D266" s="5" t="s">
        <v>10</v>
      </c>
      <c r="E266" s="5" t="s">
        <v>11</v>
      </c>
      <c r="F266" s="5" t="s">
        <v>12</v>
      </c>
      <c r="G266" s="5">
        <v>103</v>
      </c>
      <c r="H266" s="5" t="s">
        <v>13</v>
      </c>
      <c r="I266" s="10" t="s">
        <v>281</v>
      </c>
      <c r="J266" s="4"/>
      <c r="K266" s="12">
        <f t="shared" ref="K266:K329" si="392">(C267-C266)*1000</f>
        <v>92.812700000000078</v>
      </c>
      <c r="L266" s="4"/>
      <c r="M266" s="12">
        <f t="shared" ref="M266:M329" si="393">K266-$L$2</f>
        <v>-20.80172649999993</v>
      </c>
      <c r="N266" s="12">
        <f t="shared" ref="N266" si="394">M266^2</f>
        <v>432.71182538079933</v>
      </c>
      <c r="O266" s="4"/>
      <c r="P266" s="4"/>
      <c r="Q266" s="4"/>
      <c r="R266" s="4"/>
      <c r="S266" s="4"/>
      <c r="T266" s="4"/>
      <c r="U266" s="4"/>
    </row>
    <row r="267" spans="1:21" ht="15.75" thickBot="1" x14ac:dyDescent="0.3">
      <c r="A267" s="9"/>
      <c r="B267" s="6">
        <v>320</v>
      </c>
      <c r="C267" s="13" t="s">
        <v>1074</v>
      </c>
      <c r="D267" s="6" t="s">
        <v>10</v>
      </c>
      <c r="E267" s="6" t="s">
        <v>11</v>
      </c>
      <c r="F267" s="6" t="s">
        <v>15</v>
      </c>
      <c r="G267" s="6">
        <v>132</v>
      </c>
      <c r="H267" s="6" t="s">
        <v>16</v>
      </c>
      <c r="I267" s="11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</row>
    <row r="268" spans="1:21" ht="15.75" thickBot="1" x14ac:dyDescent="0.3">
      <c r="A268" s="8" t="s">
        <v>282</v>
      </c>
      <c r="B268" s="5">
        <v>208</v>
      </c>
      <c r="C268" s="14" t="s">
        <v>1075</v>
      </c>
      <c r="D268" s="5" t="s">
        <v>10</v>
      </c>
      <c r="E268" s="5" t="s">
        <v>11</v>
      </c>
      <c r="F268" s="5" t="s">
        <v>12</v>
      </c>
      <c r="G268" s="5">
        <v>103</v>
      </c>
      <c r="H268" s="5" t="s">
        <v>13</v>
      </c>
      <c r="I268" s="10" t="s">
        <v>283</v>
      </c>
      <c r="J268" s="4"/>
      <c r="K268" s="12">
        <f t="shared" ref="K268:K331" si="395">(C269-C268)*1000</f>
        <v>107.19620000000008</v>
      </c>
      <c r="L268" s="4"/>
      <c r="M268" s="12">
        <f t="shared" ref="M268:M331" si="396">K268-$L$2</f>
        <v>-6.4182264999999319</v>
      </c>
      <c r="N268" s="12">
        <f t="shared" ref="N268" si="397">M268^2</f>
        <v>41.193631405301375</v>
      </c>
      <c r="O268" s="4"/>
      <c r="P268" s="4"/>
      <c r="Q268" s="4"/>
      <c r="R268" s="4"/>
      <c r="S268" s="4"/>
      <c r="T268" s="4"/>
      <c r="U268" s="4"/>
    </row>
    <row r="269" spans="1:21" ht="15.75" thickBot="1" x14ac:dyDescent="0.3">
      <c r="A269" s="9"/>
      <c r="B269" s="6">
        <v>236</v>
      </c>
      <c r="C269" s="13" t="s">
        <v>1076</v>
      </c>
      <c r="D269" s="6" t="s">
        <v>10</v>
      </c>
      <c r="E269" s="6" t="s">
        <v>11</v>
      </c>
      <c r="F269" s="6" t="s">
        <v>15</v>
      </c>
      <c r="G269" s="6">
        <v>132</v>
      </c>
      <c r="H269" s="6" t="s">
        <v>16</v>
      </c>
      <c r="I269" s="11"/>
      <c r="J269" s="4"/>
      <c r="K269" s="12"/>
      <c r="L269" s="4"/>
      <c r="M269" s="4"/>
      <c r="N269" s="4"/>
      <c r="O269" s="4"/>
      <c r="P269" s="4"/>
      <c r="Q269" s="4"/>
      <c r="R269" s="4"/>
      <c r="S269" s="4"/>
      <c r="T269" s="4"/>
      <c r="U269" s="4"/>
    </row>
    <row r="270" spans="1:21" ht="15.75" thickBot="1" x14ac:dyDescent="0.3">
      <c r="A270" s="8" t="s">
        <v>284</v>
      </c>
      <c r="B270" s="5">
        <v>218</v>
      </c>
      <c r="C270" s="14" t="s">
        <v>1077</v>
      </c>
      <c r="D270" s="5" t="s">
        <v>10</v>
      </c>
      <c r="E270" s="5" t="s">
        <v>11</v>
      </c>
      <c r="F270" s="5" t="s">
        <v>12</v>
      </c>
      <c r="G270" s="5">
        <v>103</v>
      </c>
      <c r="H270" s="5" t="s">
        <v>13</v>
      </c>
      <c r="I270" s="10" t="s">
        <v>285</v>
      </c>
      <c r="J270" s="4"/>
      <c r="K270" s="12">
        <f t="shared" ref="K270:K333" si="398">(C271-C270)*1000</f>
        <v>68.658299999999954</v>
      </c>
      <c r="L270" s="4"/>
      <c r="M270" s="12">
        <f t="shared" ref="M270:M333" si="399">K270-$L$2</f>
        <v>-44.956126500000053</v>
      </c>
      <c r="N270" s="12">
        <f t="shared" ref="N270" si="400">M270^2</f>
        <v>2021.0533098840069</v>
      </c>
      <c r="O270" s="4"/>
      <c r="P270" s="4"/>
      <c r="Q270" s="4"/>
      <c r="R270" s="4"/>
      <c r="S270" s="4"/>
      <c r="T270" s="4"/>
      <c r="U270" s="4"/>
    </row>
    <row r="271" spans="1:21" ht="15.75" thickBot="1" x14ac:dyDescent="0.3">
      <c r="A271" s="9"/>
      <c r="B271" s="6">
        <v>240</v>
      </c>
      <c r="C271" s="13" t="s">
        <v>1078</v>
      </c>
      <c r="D271" s="6" t="s">
        <v>10</v>
      </c>
      <c r="E271" s="6" t="s">
        <v>11</v>
      </c>
      <c r="F271" s="6" t="s">
        <v>15</v>
      </c>
      <c r="G271" s="6">
        <v>132</v>
      </c>
      <c r="H271" s="6" t="s">
        <v>16</v>
      </c>
      <c r="I271" s="11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</row>
    <row r="272" spans="1:21" ht="15.75" thickBot="1" x14ac:dyDescent="0.3">
      <c r="A272" s="8" t="s">
        <v>286</v>
      </c>
      <c r="B272" s="5">
        <v>354</v>
      </c>
      <c r="C272" s="14" t="s">
        <v>1079</v>
      </c>
      <c r="D272" s="5" t="s">
        <v>10</v>
      </c>
      <c r="E272" s="5" t="s">
        <v>11</v>
      </c>
      <c r="F272" s="5" t="s">
        <v>12</v>
      </c>
      <c r="G272" s="5">
        <v>103</v>
      </c>
      <c r="H272" s="5" t="s">
        <v>13</v>
      </c>
      <c r="I272" s="10" t="s">
        <v>287</v>
      </c>
      <c r="J272" s="4"/>
      <c r="K272" s="12">
        <f t="shared" ref="K272:K335" si="401">(C273-C272)*1000</f>
        <v>118.51959999999994</v>
      </c>
      <c r="L272" s="4"/>
      <c r="M272" s="12">
        <f t="shared" ref="M272:M335" si="402">K272-$L$2</f>
        <v>4.9051734999999326</v>
      </c>
      <c r="N272" s="12">
        <f t="shared" ref="N272" si="403">M272^2</f>
        <v>24.060727065101588</v>
      </c>
      <c r="O272" s="4"/>
      <c r="P272" s="4"/>
      <c r="Q272" s="4"/>
      <c r="R272" s="4"/>
      <c r="S272" s="4"/>
      <c r="T272" s="4"/>
      <c r="U272" s="4"/>
    </row>
    <row r="273" spans="1:21" ht="15.75" thickBot="1" x14ac:dyDescent="0.3">
      <c r="A273" s="9"/>
      <c r="B273" s="6">
        <v>389</v>
      </c>
      <c r="C273" s="13" t="s">
        <v>1080</v>
      </c>
      <c r="D273" s="6" t="s">
        <v>10</v>
      </c>
      <c r="E273" s="6" t="s">
        <v>11</v>
      </c>
      <c r="F273" s="6" t="s">
        <v>15</v>
      </c>
      <c r="G273" s="6">
        <v>132</v>
      </c>
      <c r="H273" s="6" t="s">
        <v>16</v>
      </c>
      <c r="I273" s="11"/>
      <c r="J273" s="4"/>
      <c r="K273" s="12"/>
      <c r="L273" s="4"/>
      <c r="M273" s="4"/>
      <c r="N273" s="4"/>
      <c r="O273" s="4"/>
      <c r="P273" s="4"/>
      <c r="Q273" s="4"/>
      <c r="R273" s="4"/>
      <c r="S273" s="4"/>
      <c r="T273" s="4"/>
      <c r="U273" s="4"/>
    </row>
    <row r="274" spans="1:21" ht="15.75" thickBot="1" x14ac:dyDescent="0.3">
      <c r="A274" s="8" t="s">
        <v>288</v>
      </c>
      <c r="B274" s="5">
        <v>215</v>
      </c>
      <c r="C274" s="14" t="s">
        <v>1081</v>
      </c>
      <c r="D274" s="5" t="s">
        <v>10</v>
      </c>
      <c r="E274" s="5" t="s">
        <v>11</v>
      </c>
      <c r="F274" s="5" t="s">
        <v>12</v>
      </c>
      <c r="G274" s="5">
        <v>103</v>
      </c>
      <c r="H274" s="5" t="s">
        <v>13</v>
      </c>
      <c r="I274" s="10" t="s">
        <v>289</v>
      </c>
      <c r="J274" s="4"/>
      <c r="K274" s="12">
        <f t="shared" ref="K274:K337" si="404">(C275-C274)*1000</f>
        <v>150.34329999999997</v>
      </c>
      <c r="L274" s="4"/>
      <c r="M274" s="12">
        <f t="shared" ref="M274:M337" si="405">K274-$L$2</f>
        <v>36.728873499999963</v>
      </c>
      <c r="N274" s="12">
        <f t="shared" ref="N274" si="406">M274^2</f>
        <v>1349.0101485789996</v>
      </c>
      <c r="O274" s="4"/>
      <c r="P274" s="4"/>
      <c r="Q274" s="4"/>
      <c r="R274" s="4"/>
      <c r="S274" s="4"/>
      <c r="T274" s="4"/>
      <c r="U274" s="4"/>
    </row>
    <row r="275" spans="1:21" ht="15.75" thickBot="1" x14ac:dyDescent="0.3">
      <c r="A275" s="9"/>
      <c r="B275" s="6">
        <v>254</v>
      </c>
      <c r="C275" s="13" t="s">
        <v>1082</v>
      </c>
      <c r="D275" s="6" t="s">
        <v>10</v>
      </c>
      <c r="E275" s="6" t="s">
        <v>11</v>
      </c>
      <c r="F275" s="6" t="s">
        <v>15</v>
      </c>
      <c r="G275" s="6">
        <v>132</v>
      </c>
      <c r="H275" s="6" t="s">
        <v>16</v>
      </c>
      <c r="I275" s="11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</row>
    <row r="276" spans="1:21" ht="15.75" thickBot="1" x14ac:dyDescent="0.3">
      <c r="A276" s="8" t="s">
        <v>290</v>
      </c>
      <c r="B276" s="5">
        <v>231</v>
      </c>
      <c r="C276" s="14" t="s">
        <v>1083</v>
      </c>
      <c r="D276" s="5" t="s">
        <v>10</v>
      </c>
      <c r="E276" s="5" t="s">
        <v>11</v>
      </c>
      <c r="F276" s="5" t="s">
        <v>12</v>
      </c>
      <c r="G276" s="5">
        <v>103</v>
      </c>
      <c r="H276" s="5" t="s">
        <v>13</v>
      </c>
      <c r="I276" s="10" t="s">
        <v>291</v>
      </c>
      <c r="J276" s="4"/>
      <c r="K276" s="12">
        <f t="shared" ref="K276:K339" si="407">(C277-C276)*1000</f>
        <v>73.121400000000008</v>
      </c>
      <c r="L276" s="4"/>
      <c r="M276" s="12">
        <f t="shared" ref="M276:M339" si="408">K276-$L$2</f>
        <v>-40.493026499999999</v>
      </c>
      <c r="N276" s="12">
        <f t="shared" ref="N276" si="409">M276^2</f>
        <v>1639.6851951297022</v>
      </c>
      <c r="O276" s="4"/>
      <c r="P276" s="4"/>
      <c r="Q276" s="4"/>
      <c r="R276" s="4"/>
      <c r="S276" s="4"/>
      <c r="T276" s="4"/>
      <c r="U276" s="4"/>
    </row>
    <row r="277" spans="1:21" ht="15.75" thickBot="1" x14ac:dyDescent="0.3">
      <c r="A277" s="9"/>
      <c r="B277" s="6">
        <v>252</v>
      </c>
      <c r="C277" s="13" t="s">
        <v>1084</v>
      </c>
      <c r="D277" s="6" t="s">
        <v>10</v>
      </c>
      <c r="E277" s="6" t="s">
        <v>11</v>
      </c>
      <c r="F277" s="6" t="s">
        <v>15</v>
      </c>
      <c r="G277" s="6">
        <v>132</v>
      </c>
      <c r="H277" s="6" t="s">
        <v>16</v>
      </c>
      <c r="I277" s="11"/>
      <c r="J277" s="4"/>
      <c r="K277" s="12"/>
      <c r="L277" s="4"/>
      <c r="M277" s="4"/>
      <c r="N277" s="4"/>
      <c r="O277" s="4"/>
      <c r="P277" s="4"/>
      <c r="Q277" s="4"/>
      <c r="R277" s="4"/>
      <c r="S277" s="4"/>
      <c r="T277" s="4"/>
      <c r="U277" s="4"/>
    </row>
    <row r="278" spans="1:21" ht="15.75" thickBot="1" x14ac:dyDescent="0.3">
      <c r="A278" s="8" t="s">
        <v>292</v>
      </c>
      <c r="B278" s="5">
        <v>211</v>
      </c>
      <c r="C278" s="14" t="s">
        <v>1085</v>
      </c>
      <c r="D278" s="5" t="s">
        <v>10</v>
      </c>
      <c r="E278" s="5" t="s">
        <v>11</v>
      </c>
      <c r="F278" s="5" t="s">
        <v>12</v>
      </c>
      <c r="G278" s="5">
        <v>103</v>
      </c>
      <c r="H278" s="5" t="s">
        <v>13</v>
      </c>
      <c r="I278" s="10" t="s">
        <v>293</v>
      </c>
      <c r="J278" s="4"/>
      <c r="K278" s="12">
        <f t="shared" ref="K278:K341" si="410">(C279-C278)*1000</f>
        <v>142.42240000000007</v>
      </c>
      <c r="L278" s="4"/>
      <c r="M278" s="12">
        <f t="shared" ref="M278:M341" si="411">K278-$L$2</f>
        <v>28.80797350000006</v>
      </c>
      <c r="N278" s="12">
        <f t="shared" ref="N278" si="412">M278^2</f>
        <v>829.89933717670567</v>
      </c>
      <c r="O278" s="4"/>
      <c r="P278" s="4"/>
      <c r="Q278" s="4"/>
      <c r="R278" s="4"/>
      <c r="S278" s="4"/>
      <c r="T278" s="4"/>
      <c r="U278" s="4"/>
    </row>
    <row r="279" spans="1:21" ht="15.75" thickBot="1" x14ac:dyDescent="0.3">
      <c r="A279" s="9"/>
      <c r="B279" s="6">
        <v>254</v>
      </c>
      <c r="C279" s="13" t="s">
        <v>1086</v>
      </c>
      <c r="D279" s="6" t="s">
        <v>10</v>
      </c>
      <c r="E279" s="6" t="s">
        <v>11</v>
      </c>
      <c r="F279" s="6" t="s">
        <v>15</v>
      </c>
      <c r="G279" s="6">
        <v>132</v>
      </c>
      <c r="H279" s="6" t="s">
        <v>16</v>
      </c>
      <c r="I279" s="11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</row>
    <row r="280" spans="1:21" ht="15.75" thickBot="1" x14ac:dyDescent="0.3">
      <c r="A280" s="8" t="s">
        <v>294</v>
      </c>
      <c r="B280" s="5">
        <v>188</v>
      </c>
      <c r="C280" s="14" t="s">
        <v>1087</v>
      </c>
      <c r="D280" s="5" t="s">
        <v>10</v>
      </c>
      <c r="E280" s="5" t="s">
        <v>11</v>
      </c>
      <c r="F280" s="5" t="s">
        <v>12</v>
      </c>
      <c r="G280" s="5">
        <v>103</v>
      </c>
      <c r="H280" s="5" t="s">
        <v>13</v>
      </c>
      <c r="I280" s="10" t="s">
        <v>295</v>
      </c>
      <c r="J280" s="4"/>
      <c r="K280" s="12">
        <f t="shared" ref="K280:K343" si="413">(C281-C280)*1000</f>
        <v>113.49759999999998</v>
      </c>
      <c r="L280" s="4"/>
      <c r="M280" s="12">
        <f t="shared" ref="M280:M343" si="414">K280-$L$2</f>
        <v>-0.11682650000003036</v>
      </c>
      <c r="N280" s="12">
        <f t="shared" ref="N280" si="415">M280^2</f>
        <v>1.3648431102257094E-2</v>
      </c>
      <c r="O280" s="4"/>
      <c r="P280" s="4"/>
      <c r="Q280" s="4"/>
      <c r="R280" s="4"/>
      <c r="S280" s="4"/>
      <c r="T280" s="4"/>
      <c r="U280" s="4"/>
    </row>
    <row r="281" spans="1:21" ht="15.75" thickBot="1" x14ac:dyDescent="0.3">
      <c r="A281" s="9"/>
      <c r="B281" s="6">
        <v>217</v>
      </c>
      <c r="C281" s="13" t="s">
        <v>1088</v>
      </c>
      <c r="D281" s="6" t="s">
        <v>10</v>
      </c>
      <c r="E281" s="6" t="s">
        <v>11</v>
      </c>
      <c r="F281" s="6" t="s">
        <v>15</v>
      </c>
      <c r="G281" s="6">
        <v>132</v>
      </c>
      <c r="H281" s="6" t="s">
        <v>16</v>
      </c>
      <c r="I281" s="11"/>
      <c r="J281" s="4"/>
      <c r="K281" s="12"/>
      <c r="L281" s="4"/>
      <c r="M281" s="4"/>
      <c r="N281" s="4"/>
      <c r="O281" s="4"/>
      <c r="P281" s="4"/>
      <c r="Q281" s="4"/>
      <c r="R281" s="4"/>
      <c r="S281" s="4"/>
      <c r="T281" s="4"/>
      <c r="U281" s="4"/>
    </row>
    <row r="282" spans="1:21" ht="15.75" thickBot="1" x14ac:dyDescent="0.3">
      <c r="A282" s="8" t="s">
        <v>296</v>
      </c>
      <c r="B282" s="5">
        <v>223</v>
      </c>
      <c r="C282" s="14" t="s">
        <v>1089</v>
      </c>
      <c r="D282" s="5" t="s">
        <v>10</v>
      </c>
      <c r="E282" s="5" t="s">
        <v>11</v>
      </c>
      <c r="F282" s="5" t="s">
        <v>12</v>
      </c>
      <c r="G282" s="5">
        <v>103</v>
      </c>
      <c r="H282" s="5" t="s">
        <v>13</v>
      </c>
      <c r="I282" s="10" t="s">
        <v>297</v>
      </c>
      <c r="J282" s="4"/>
      <c r="K282" s="12">
        <f t="shared" ref="K282:K345" si="416">(C283-C282)*1000</f>
        <v>161.54279999999989</v>
      </c>
      <c r="L282" s="4"/>
      <c r="M282" s="12">
        <f t="shared" ref="M282:M345" si="417">K282-$L$2</f>
        <v>47.928373499999879</v>
      </c>
      <c r="N282" s="12">
        <f t="shared" ref="N282" si="418">M282^2</f>
        <v>2297.1289863554907</v>
      </c>
      <c r="O282" s="4"/>
      <c r="P282" s="4"/>
      <c r="Q282" s="4"/>
      <c r="R282" s="4"/>
      <c r="S282" s="4"/>
      <c r="T282" s="4"/>
      <c r="U282" s="4"/>
    </row>
    <row r="283" spans="1:21" ht="15.75" thickBot="1" x14ac:dyDescent="0.3">
      <c r="A283" s="9"/>
      <c r="B283" s="6">
        <v>268</v>
      </c>
      <c r="C283" s="13" t="s">
        <v>1090</v>
      </c>
      <c r="D283" s="6" t="s">
        <v>10</v>
      </c>
      <c r="E283" s="6" t="s">
        <v>11</v>
      </c>
      <c r="F283" s="6" t="s">
        <v>15</v>
      </c>
      <c r="G283" s="6">
        <v>132</v>
      </c>
      <c r="H283" s="6" t="s">
        <v>16</v>
      </c>
      <c r="I283" s="11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</row>
    <row r="284" spans="1:21" ht="15.75" thickBot="1" x14ac:dyDescent="0.3">
      <c r="A284" s="8" t="s">
        <v>298</v>
      </c>
      <c r="B284" s="5">
        <v>268</v>
      </c>
      <c r="C284" s="14" t="s">
        <v>1091</v>
      </c>
      <c r="D284" s="5" t="s">
        <v>10</v>
      </c>
      <c r="E284" s="5" t="s">
        <v>11</v>
      </c>
      <c r="F284" s="5" t="s">
        <v>12</v>
      </c>
      <c r="G284" s="5">
        <v>103</v>
      </c>
      <c r="H284" s="5" t="s">
        <v>13</v>
      </c>
      <c r="I284" s="10" t="s">
        <v>299</v>
      </c>
      <c r="J284" s="4"/>
      <c r="K284" s="12">
        <f t="shared" ref="K284:K347" si="419">(C285-C284)*1000</f>
        <v>103.08519999999999</v>
      </c>
      <c r="L284" s="4"/>
      <c r="M284" s="12">
        <f t="shared" ref="M284:M347" si="420">K284-$L$2</f>
        <v>-10.529226500000021</v>
      </c>
      <c r="N284" s="12">
        <f t="shared" ref="N284" si="421">M284^2</f>
        <v>110.8646106883027</v>
      </c>
      <c r="O284" s="4"/>
      <c r="P284" s="4"/>
      <c r="Q284" s="4"/>
      <c r="R284" s="4"/>
      <c r="S284" s="4"/>
      <c r="T284" s="4"/>
      <c r="U284" s="4"/>
    </row>
    <row r="285" spans="1:21" ht="15.75" thickBot="1" x14ac:dyDescent="0.3">
      <c r="A285" s="9"/>
      <c r="B285" s="6">
        <v>295</v>
      </c>
      <c r="C285" s="13" t="s">
        <v>1092</v>
      </c>
      <c r="D285" s="6" t="s">
        <v>10</v>
      </c>
      <c r="E285" s="6" t="s">
        <v>11</v>
      </c>
      <c r="F285" s="6" t="s">
        <v>15</v>
      </c>
      <c r="G285" s="6">
        <v>132</v>
      </c>
      <c r="H285" s="6" t="s">
        <v>16</v>
      </c>
      <c r="I285" s="11"/>
      <c r="J285" s="4"/>
      <c r="K285" s="12"/>
      <c r="L285" s="4"/>
      <c r="M285" s="4"/>
      <c r="N285" s="4"/>
      <c r="O285" s="4"/>
      <c r="P285" s="4"/>
      <c r="Q285" s="4"/>
      <c r="R285" s="4"/>
      <c r="S285" s="4"/>
      <c r="T285" s="4"/>
      <c r="U285" s="4"/>
    </row>
    <row r="286" spans="1:21" ht="15.75" thickBot="1" x14ac:dyDescent="0.3">
      <c r="A286" s="8" t="s">
        <v>300</v>
      </c>
      <c r="B286" s="5">
        <v>209</v>
      </c>
      <c r="C286" s="14" t="s">
        <v>1093</v>
      </c>
      <c r="D286" s="5" t="s">
        <v>10</v>
      </c>
      <c r="E286" s="5" t="s">
        <v>11</v>
      </c>
      <c r="F286" s="5" t="s">
        <v>12</v>
      </c>
      <c r="G286" s="5">
        <v>103</v>
      </c>
      <c r="H286" s="5" t="s">
        <v>13</v>
      </c>
      <c r="I286" s="10" t="s">
        <v>301</v>
      </c>
      <c r="J286" s="4"/>
      <c r="K286" s="12">
        <f t="shared" ref="K286:K349" si="422">(C287-C286)*1000</f>
        <v>175.52469999999997</v>
      </c>
      <c r="L286" s="4"/>
      <c r="M286" s="12">
        <f t="shared" ref="M286:M349" si="423">K286-$L$2</f>
        <v>61.91027349999996</v>
      </c>
      <c r="N286" s="12">
        <f t="shared" ref="N286" si="424">M286^2</f>
        <v>3832.8819648447975</v>
      </c>
      <c r="O286" s="4"/>
      <c r="P286" s="4"/>
      <c r="Q286" s="4"/>
      <c r="R286" s="4"/>
      <c r="S286" s="4"/>
      <c r="T286" s="4"/>
      <c r="U286" s="4"/>
    </row>
    <row r="287" spans="1:21" ht="15.75" thickBot="1" x14ac:dyDescent="0.3">
      <c r="A287" s="9"/>
      <c r="B287" s="6">
        <v>240</v>
      </c>
      <c r="C287" s="13" t="s">
        <v>1094</v>
      </c>
      <c r="D287" s="6" t="s">
        <v>10</v>
      </c>
      <c r="E287" s="6" t="s">
        <v>11</v>
      </c>
      <c r="F287" s="6" t="s">
        <v>15</v>
      </c>
      <c r="G287" s="6">
        <v>132</v>
      </c>
      <c r="H287" s="6" t="s">
        <v>16</v>
      </c>
      <c r="I287" s="11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</row>
    <row r="288" spans="1:21" ht="15.75" thickBot="1" x14ac:dyDescent="0.3">
      <c r="A288" s="8" t="s">
        <v>302</v>
      </c>
      <c r="B288" s="5">
        <v>206</v>
      </c>
      <c r="C288" s="14" t="s">
        <v>1095</v>
      </c>
      <c r="D288" s="5" t="s">
        <v>10</v>
      </c>
      <c r="E288" s="5" t="s">
        <v>11</v>
      </c>
      <c r="F288" s="5" t="s">
        <v>12</v>
      </c>
      <c r="G288" s="5">
        <v>103</v>
      </c>
      <c r="H288" s="5" t="s">
        <v>13</v>
      </c>
      <c r="I288" s="10" t="s">
        <v>303</v>
      </c>
      <c r="J288" s="4"/>
      <c r="K288" s="12">
        <f t="shared" ref="K288:K351" si="425">(C289-C288)*1000</f>
        <v>175.83049999999989</v>
      </c>
      <c r="L288" s="4"/>
      <c r="M288" s="12">
        <f t="shared" ref="M288:M351" si="426">K288-$L$2</f>
        <v>62.216073499999879</v>
      </c>
      <c r="N288" s="12">
        <f t="shared" ref="N288" si="427">M288^2</f>
        <v>3870.8398017573872</v>
      </c>
      <c r="O288" s="4"/>
      <c r="P288" s="4"/>
      <c r="Q288" s="4"/>
      <c r="R288" s="4"/>
      <c r="S288" s="4"/>
      <c r="T288" s="4"/>
      <c r="U288" s="4"/>
    </row>
    <row r="289" spans="1:21" ht="15.75" thickBot="1" x14ac:dyDescent="0.3">
      <c r="A289" s="9"/>
      <c r="B289" s="6">
        <v>248</v>
      </c>
      <c r="C289" s="13" t="s">
        <v>1096</v>
      </c>
      <c r="D289" s="6" t="s">
        <v>10</v>
      </c>
      <c r="E289" s="6" t="s">
        <v>11</v>
      </c>
      <c r="F289" s="6" t="s">
        <v>15</v>
      </c>
      <c r="G289" s="6">
        <v>132</v>
      </c>
      <c r="H289" s="6" t="s">
        <v>16</v>
      </c>
      <c r="I289" s="11"/>
      <c r="J289" s="4"/>
      <c r="K289" s="12"/>
      <c r="L289" s="4"/>
      <c r="M289" s="4"/>
      <c r="N289" s="4"/>
      <c r="O289" s="4"/>
      <c r="P289" s="4"/>
      <c r="Q289" s="4"/>
      <c r="R289" s="4"/>
      <c r="S289" s="4"/>
      <c r="T289" s="4"/>
      <c r="U289" s="4"/>
    </row>
    <row r="290" spans="1:21" ht="15.75" thickBot="1" x14ac:dyDescent="0.3">
      <c r="A290" s="8" t="s">
        <v>304</v>
      </c>
      <c r="B290" s="5">
        <v>237</v>
      </c>
      <c r="C290" s="14" t="s">
        <v>1097</v>
      </c>
      <c r="D290" s="5" t="s">
        <v>10</v>
      </c>
      <c r="E290" s="5" t="s">
        <v>11</v>
      </c>
      <c r="F290" s="5" t="s">
        <v>12</v>
      </c>
      <c r="G290" s="5">
        <v>103</v>
      </c>
      <c r="H290" s="5" t="s">
        <v>13</v>
      </c>
      <c r="I290" s="10" t="s">
        <v>305</v>
      </c>
      <c r="J290" s="4"/>
      <c r="K290" s="12">
        <f t="shared" ref="K290:K353" si="428">(C291-C290)*1000</f>
        <v>122.71419999999989</v>
      </c>
      <c r="L290" s="4"/>
      <c r="M290" s="12">
        <f t="shared" ref="M290:M353" si="429">K290-$L$2</f>
        <v>9.0997734999998841</v>
      </c>
      <c r="N290" s="12">
        <f t="shared" ref="N290" si="430">M290^2</f>
        <v>82.805877751300144</v>
      </c>
      <c r="O290" s="4"/>
      <c r="P290" s="4"/>
      <c r="Q290" s="4"/>
      <c r="R290" s="4"/>
      <c r="S290" s="4"/>
      <c r="T290" s="4"/>
      <c r="U290" s="4"/>
    </row>
    <row r="291" spans="1:21" ht="15.75" thickBot="1" x14ac:dyDescent="0.3">
      <c r="A291" s="9"/>
      <c r="B291" s="6">
        <v>267</v>
      </c>
      <c r="C291" s="13" t="s">
        <v>1098</v>
      </c>
      <c r="D291" s="6" t="s">
        <v>10</v>
      </c>
      <c r="E291" s="6" t="s">
        <v>11</v>
      </c>
      <c r="F291" s="6" t="s">
        <v>15</v>
      </c>
      <c r="G291" s="6">
        <v>132</v>
      </c>
      <c r="H291" s="6" t="s">
        <v>16</v>
      </c>
      <c r="I291" s="11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</row>
    <row r="292" spans="1:21" ht="15.75" thickBot="1" x14ac:dyDescent="0.3">
      <c r="A292" s="8" t="s">
        <v>306</v>
      </c>
      <c r="B292" s="5">
        <v>212</v>
      </c>
      <c r="C292" s="14" t="s">
        <v>1099</v>
      </c>
      <c r="D292" s="5" t="s">
        <v>10</v>
      </c>
      <c r="E292" s="5" t="s">
        <v>11</v>
      </c>
      <c r="F292" s="5" t="s">
        <v>12</v>
      </c>
      <c r="G292" s="5">
        <v>103</v>
      </c>
      <c r="H292" s="5" t="s">
        <v>13</v>
      </c>
      <c r="I292" s="10" t="s">
        <v>307</v>
      </c>
      <c r="J292" s="4"/>
      <c r="K292" s="12">
        <f t="shared" ref="K292:K355" si="431">(C293-C292)*1000</f>
        <v>68.070899999999938</v>
      </c>
      <c r="L292" s="4"/>
      <c r="M292" s="12">
        <f t="shared" ref="M292:M355" si="432">K292-$L$2</f>
        <v>-45.54352650000007</v>
      </c>
      <c r="N292" s="12">
        <f t="shared" ref="N292" si="433">M292^2</f>
        <v>2074.2128060562086</v>
      </c>
      <c r="O292" s="4"/>
      <c r="P292" s="4"/>
      <c r="Q292" s="4"/>
      <c r="R292" s="4"/>
      <c r="S292" s="4"/>
      <c r="T292" s="4"/>
      <c r="U292" s="4"/>
    </row>
    <row r="293" spans="1:21" ht="15.75" thickBot="1" x14ac:dyDescent="0.3">
      <c r="A293" s="9"/>
      <c r="B293" s="6">
        <v>234</v>
      </c>
      <c r="C293" s="13" t="s">
        <v>1100</v>
      </c>
      <c r="D293" s="6" t="s">
        <v>10</v>
      </c>
      <c r="E293" s="6" t="s">
        <v>11</v>
      </c>
      <c r="F293" s="6" t="s">
        <v>15</v>
      </c>
      <c r="G293" s="6">
        <v>132</v>
      </c>
      <c r="H293" s="6" t="s">
        <v>16</v>
      </c>
      <c r="I293" s="11"/>
      <c r="J293" s="4"/>
      <c r="K293" s="12"/>
      <c r="L293" s="4"/>
      <c r="M293" s="4"/>
      <c r="N293" s="4"/>
      <c r="O293" s="4"/>
      <c r="P293" s="4"/>
      <c r="Q293" s="4"/>
      <c r="R293" s="4"/>
      <c r="S293" s="4"/>
      <c r="T293" s="4"/>
      <c r="U293" s="4"/>
    </row>
    <row r="294" spans="1:21" ht="15.75" thickBot="1" x14ac:dyDescent="0.3">
      <c r="A294" s="8" t="s">
        <v>308</v>
      </c>
      <c r="B294" s="5">
        <v>198</v>
      </c>
      <c r="C294" s="14" t="s">
        <v>1101</v>
      </c>
      <c r="D294" s="5" t="s">
        <v>10</v>
      </c>
      <c r="E294" s="5" t="s">
        <v>11</v>
      </c>
      <c r="F294" s="5" t="s">
        <v>12</v>
      </c>
      <c r="G294" s="5">
        <v>103</v>
      </c>
      <c r="H294" s="5" t="s">
        <v>13</v>
      </c>
      <c r="I294" s="10" t="s">
        <v>309</v>
      </c>
      <c r="J294" s="4"/>
      <c r="K294" s="12">
        <f t="shared" ref="K294:K357" si="434">(C295-C294)*1000</f>
        <v>59.781100000000031</v>
      </c>
      <c r="L294" s="4"/>
      <c r="M294" s="12">
        <f t="shared" ref="M294:M357" si="435">K294-$L$2</f>
        <v>-53.833326499999977</v>
      </c>
      <c r="N294" s="12">
        <f t="shared" ref="N294" si="436">M294^2</f>
        <v>2898.0270420555998</v>
      </c>
      <c r="O294" s="4"/>
      <c r="P294" s="4"/>
      <c r="Q294" s="4"/>
      <c r="R294" s="4"/>
      <c r="S294" s="4"/>
      <c r="T294" s="4"/>
      <c r="U294" s="4"/>
    </row>
    <row r="295" spans="1:21" ht="15.75" thickBot="1" x14ac:dyDescent="0.3">
      <c r="A295" s="9"/>
      <c r="B295" s="6">
        <v>221</v>
      </c>
      <c r="C295" s="13" t="s">
        <v>1102</v>
      </c>
      <c r="D295" s="6" t="s">
        <v>10</v>
      </c>
      <c r="E295" s="6" t="s">
        <v>11</v>
      </c>
      <c r="F295" s="6" t="s">
        <v>15</v>
      </c>
      <c r="G295" s="6">
        <v>132</v>
      </c>
      <c r="H295" s="6" t="s">
        <v>16</v>
      </c>
      <c r="I295" s="11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</row>
    <row r="296" spans="1:21" ht="15.75" thickBot="1" x14ac:dyDescent="0.3">
      <c r="A296" s="8" t="s">
        <v>310</v>
      </c>
      <c r="B296" s="5">
        <v>193</v>
      </c>
      <c r="C296" s="14" t="s">
        <v>1103</v>
      </c>
      <c r="D296" s="5" t="s">
        <v>10</v>
      </c>
      <c r="E296" s="5" t="s">
        <v>11</v>
      </c>
      <c r="F296" s="5" t="s">
        <v>12</v>
      </c>
      <c r="G296" s="5">
        <v>103</v>
      </c>
      <c r="H296" s="5" t="s">
        <v>13</v>
      </c>
      <c r="I296" s="10" t="s">
        <v>311</v>
      </c>
      <c r="J296" s="4"/>
      <c r="K296" s="12">
        <f t="shared" ref="K296:K359" si="437">(C297-C296)*1000</f>
        <v>137.95979999999997</v>
      </c>
      <c r="L296" s="4"/>
      <c r="M296" s="12">
        <f t="shared" ref="M296:M359" si="438">K296-$L$2</f>
        <v>24.345373499999965</v>
      </c>
      <c r="N296" s="12">
        <f t="shared" ref="N296" si="439">M296^2</f>
        <v>592.69721085450055</v>
      </c>
      <c r="O296" s="4"/>
      <c r="P296" s="4"/>
      <c r="Q296" s="4"/>
      <c r="R296" s="4"/>
      <c r="S296" s="4"/>
      <c r="T296" s="4"/>
      <c r="U296" s="4"/>
    </row>
    <row r="297" spans="1:21" ht="15.75" thickBot="1" x14ac:dyDescent="0.3">
      <c r="A297" s="9"/>
      <c r="B297" s="6">
        <v>231</v>
      </c>
      <c r="C297" s="13" t="s">
        <v>1104</v>
      </c>
      <c r="D297" s="6" t="s">
        <v>10</v>
      </c>
      <c r="E297" s="6" t="s">
        <v>11</v>
      </c>
      <c r="F297" s="6" t="s">
        <v>15</v>
      </c>
      <c r="G297" s="6">
        <v>132</v>
      </c>
      <c r="H297" s="6" t="s">
        <v>16</v>
      </c>
      <c r="I297" s="11"/>
      <c r="J297" s="4"/>
      <c r="K297" s="12"/>
      <c r="L297" s="4"/>
      <c r="M297" s="4"/>
      <c r="N297" s="4"/>
      <c r="O297" s="4"/>
      <c r="P297" s="4"/>
      <c r="Q297" s="4"/>
      <c r="R297" s="4"/>
      <c r="S297" s="4"/>
      <c r="T297" s="4"/>
      <c r="U297" s="4"/>
    </row>
    <row r="298" spans="1:21" ht="15.75" thickBot="1" x14ac:dyDescent="0.3">
      <c r="A298" s="8" t="s">
        <v>312</v>
      </c>
      <c r="B298" s="5">
        <v>221</v>
      </c>
      <c r="C298" s="14" t="s">
        <v>1105</v>
      </c>
      <c r="D298" s="5" t="s">
        <v>10</v>
      </c>
      <c r="E298" s="5" t="s">
        <v>11</v>
      </c>
      <c r="F298" s="5" t="s">
        <v>12</v>
      </c>
      <c r="G298" s="5">
        <v>103</v>
      </c>
      <c r="H298" s="5" t="s">
        <v>13</v>
      </c>
      <c r="I298" s="10" t="s">
        <v>313</v>
      </c>
      <c r="J298" s="4"/>
      <c r="K298" s="12">
        <f t="shared" ref="K298:K361" si="440">(C299-C298)*1000</f>
        <v>58.525900000000021</v>
      </c>
      <c r="L298" s="4"/>
      <c r="M298" s="12">
        <f t="shared" ref="M298:M361" si="441">K298-$L$2</f>
        <v>-55.088526499999986</v>
      </c>
      <c r="N298" s="12">
        <f t="shared" ref="N298" si="442">M298^2</f>
        <v>3034.7457519412005</v>
      </c>
      <c r="O298" s="4"/>
      <c r="P298" s="4"/>
      <c r="Q298" s="4"/>
      <c r="R298" s="4"/>
      <c r="S298" s="4"/>
      <c r="T298" s="4"/>
      <c r="U298" s="4"/>
    </row>
    <row r="299" spans="1:21" ht="15.75" thickBot="1" x14ac:dyDescent="0.3">
      <c r="A299" s="9"/>
      <c r="B299" s="6">
        <v>241</v>
      </c>
      <c r="C299" s="13" t="s">
        <v>1106</v>
      </c>
      <c r="D299" s="6" t="s">
        <v>10</v>
      </c>
      <c r="E299" s="6" t="s">
        <v>11</v>
      </c>
      <c r="F299" s="6" t="s">
        <v>15</v>
      </c>
      <c r="G299" s="6">
        <v>132</v>
      </c>
      <c r="H299" s="6" t="s">
        <v>16</v>
      </c>
      <c r="I299" s="11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</row>
    <row r="300" spans="1:21" ht="15.75" thickBot="1" x14ac:dyDescent="0.3">
      <c r="A300" s="8" t="s">
        <v>314</v>
      </c>
      <c r="B300" s="5">
        <v>219</v>
      </c>
      <c r="C300" s="14" t="s">
        <v>1107</v>
      </c>
      <c r="D300" s="5" t="s">
        <v>10</v>
      </c>
      <c r="E300" s="5" t="s">
        <v>11</v>
      </c>
      <c r="F300" s="5" t="s">
        <v>12</v>
      </c>
      <c r="G300" s="5">
        <v>103</v>
      </c>
      <c r="H300" s="5" t="s">
        <v>13</v>
      </c>
      <c r="I300" s="10" t="s">
        <v>315</v>
      </c>
      <c r="J300" s="4"/>
      <c r="K300" s="12">
        <f t="shared" ref="K300:K363" si="443">(C301-C300)*1000</f>
        <v>171.13339999999999</v>
      </c>
      <c r="L300" s="4"/>
      <c r="M300" s="12">
        <f t="shared" ref="M300:M363" si="444">K300-$L$2</f>
        <v>57.518973499999987</v>
      </c>
      <c r="N300" s="12">
        <f t="shared" ref="N300" si="445">M300^2</f>
        <v>3308.4323124937009</v>
      </c>
      <c r="O300" s="4"/>
      <c r="P300" s="4"/>
      <c r="Q300" s="4"/>
      <c r="R300" s="4"/>
      <c r="S300" s="4"/>
      <c r="T300" s="4"/>
      <c r="U300" s="4"/>
    </row>
    <row r="301" spans="1:21" ht="15.75" thickBot="1" x14ac:dyDescent="0.3">
      <c r="A301" s="9"/>
      <c r="B301" s="6">
        <v>264</v>
      </c>
      <c r="C301" s="13" t="s">
        <v>1108</v>
      </c>
      <c r="D301" s="6" t="s">
        <v>10</v>
      </c>
      <c r="E301" s="6" t="s">
        <v>11</v>
      </c>
      <c r="F301" s="6" t="s">
        <v>15</v>
      </c>
      <c r="G301" s="6">
        <v>132</v>
      </c>
      <c r="H301" s="6" t="s">
        <v>16</v>
      </c>
      <c r="I301" s="11"/>
      <c r="J301" s="4"/>
      <c r="K301" s="12"/>
      <c r="L301" s="4"/>
      <c r="M301" s="4"/>
      <c r="N301" s="4"/>
      <c r="O301" s="4"/>
      <c r="P301" s="4"/>
      <c r="Q301" s="4"/>
      <c r="R301" s="4"/>
      <c r="S301" s="4"/>
      <c r="T301" s="4"/>
      <c r="U301" s="4"/>
    </row>
    <row r="302" spans="1:21" ht="15.75" thickBot="1" x14ac:dyDescent="0.3">
      <c r="A302" s="8" t="s">
        <v>316</v>
      </c>
      <c r="B302" s="5">
        <v>188</v>
      </c>
      <c r="C302" s="14" t="s">
        <v>1109</v>
      </c>
      <c r="D302" s="5" t="s">
        <v>10</v>
      </c>
      <c r="E302" s="5" t="s">
        <v>11</v>
      </c>
      <c r="F302" s="5" t="s">
        <v>12</v>
      </c>
      <c r="G302" s="5">
        <v>103</v>
      </c>
      <c r="H302" s="5" t="s">
        <v>13</v>
      </c>
      <c r="I302" s="10" t="s">
        <v>317</v>
      </c>
      <c r="J302" s="4"/>
      <c r="K302" s="12">
        <f t="shared" ref="K302:K365" si="446">(C303-C302)*1000</f>
        <v>154.31149999999994</v>
      </c>
      <c r="L302" s="4"/>
      <c r="M302" s="12">
        <f t="shared" ref="M302:M365" si="447">K302-$L$2</f>
        <v>40.697073499999931</v>
      </c>
      <c r="N302" s="12">
        <f t="shared" ref="N302" si="448">M302^2</f>
        <v>1656.2517914643965</v>
      </c>
      <c r="O302" s="4"/>
      <c r="P302" s="4"/>
      <c r="Q302" s="4"/>
      <c r="R302" s="4"/>
      <c r="S302" s="4"/>
      <c r="T302" s="4"/>
      <c r="U302" s="4"/>
    </row>
    <row r="303" spans="1:21" ht="15.75" thickBot="1" x14ac:dyDescent="0.3">
      <c r="A303" s="9"/>
      <c r="B303" s="6">
        <v>229</v>
      </c>
      <c r="C303" s="13" t="s">
        <v>1110</v>
      </c>
      <c r="D303" s="6" t="s">
        <v>10</v>
      </c>
      <c r="E303" s="6" t="s">
        <v>11</v>
      </c>
      <c r="F303" s="6" t="s">
        <v>15</v>
      </c>
      <c r="G303" s="6">
        <v>132</v>
      </c>
      <c r="H303" s="6" t="s">
        <v>16</v>
      </c>
      <c r="I303" s="11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</row>
    <row r="304" spans="1:21" ht="15.75" thickBot="1" x14ac:dyDescent="0.3">
      <c r="A304" s="8" t="s">
        <v>318</v>
      </c>
      <c r="B304" s="5">
        <v>211</v>
      </c>
      <c r="C304" s="14" t="s">
        <v>1112</v>
      </c>
      <c r="D304" s="5" t="s">
        <v>10</v>
      </c>
      <c r="E304" s="5" t="s">
        <v>11</v>
      </c>
      <c r="F304" s="5" t="s">
        <v>12</v>
      </c>
      <c r="G304" s="5">
        <v>103</v>
      </c>
      <c r="H304" s="5" t="s">
        <v>13</v>
      </c>
      <c r="I304" s="10" t="s">
        <v>319</v>
      </c>
      <c r="J304" s="4"/>
      <c r="K304" s="12">
        <f t="shared" ref="K304:K367" si="449">(C305-C304)*1000</f>
        <v>93.166799999999995</v>
      </c>
      <c r="L304" s="4"/>
      <c r="M304" s="12">
        <f t="shared" ref="M304:M367" si="450">K304-$L$2</f>
        <v>-20.447626500000013</v>
      </c>
      <c r="N304" s="12">
        <f t="shared" ref="N304" si="451">M304^2</f>
        <v>418.10542948350275</v>
      </c>
      <c r="O304" s="4"/>
      <c r="P304" s="4"/>
      <c r="Q304" s="4"/>
      <c r="R304" s="4"/>
      <c r="S304" s="4"/>
      <c r="T304" s="4"/>
      <c r="U304" s="4"/>
    </row>
    <row r="305" spans="1:21" ht="15.75" thickBot="1" x14ac:dyDescent="0.3">
      <c r="A305" s="9"/>
      <c r="B305" s="6">
        <v>237</v>
      </c>
      <c r="C305" s="13" t="s">
        <v>1111</v>
      </c>
      <c r="D305" s="6" t="s">
        <v>10</v>
      </c>
      <c r="E305" s="6" t="s">
        <v>11</v>
      </c>
      <c r="F305" s="6" t="s">
        <v>15</v>
      </c>
      <c r="G305" s="6">
        <v>132</v>
      </c>
      <c r="H305" s="6" t="s">
        <v>16</v>
      </c>
      <c r="I305" s="11"/>
      <c r="J305" s="4"/>
      <c r="K305" s="12"/>
      <c r="L305" s="4"/>
      <c r="M305" s="4"/>
      <c r="N305" s="4"/>
      <c r="O305" s="4"/>
      <c r="P305" s="4"/>
      <c r="Q305" s="4"/>
      <c r="R305" s="4"/>
      <c r="S305" s="4"/>
      <c r="T305" s="4"/>
      <c r="U305" s="4"/>
    </row>
    <row r="306" spans="1:21" ht="15.75" thickBot="1" x14ac:dyDescent="0.3">
      <c r="A306" s="8" t="s">
        <v>320</v>
      </c>
      <c r="B306" s="5">
        <v>224</v>
      </c>
      <c r="C306" s="14" t="s">
        <v>1113</v>
      </c>
      <c r="D306" s="5" t="s">
        <v>10</v>
      </c>
      <c r="E306" s="5" t="s">
        <v>11</v>
      </c>
      <c r="F306" s="5" t="s">
        <v>12</v>
      </c>
      <c r="G306" s="5">
        <v>103</v>
      </c>
      <c r="H306" s="5" t="s">
        <v>13</v>
      </c>
      <c r="I306" s="10" t="s">
        <v>321</v>
      </c>
      <c r="J306" s="4"/>
      <c r="K306" s="12">
        <f t="shared" ref="K306:K369" si="452">(C307-C306)*1000</f>
        <v>146.83509999999998</v>
      </c>
      <c r="L306" s="4"/>
      <c r="M306" s="12">
        <f t="shared" ref="M306:M369" si="453">K306-$L$2</f>
        <v>33.220673499999975</v>
      </c>
      <c r="N306" s="12">
        <f t="shared" ref="N306" si="454">M306^2</f>
        <v>1103.6131477936005</v>
      </c>
      <c r="O306" s="4"/>
      <c r="P306" s="4"/>
      <c r="Q306" s="4"/>
      <c r="R306" s="4"/>
      <c r="S306" s="4"/>
      <c r="T306" s="4"/>
      <c r="U306" s="4"/>
    </row>
    <row r="307" spans="1:21" ht="15.75" thickBot="1" x14ac:dyDescent="0.3">
      <c r="A307" s="9"/>
      <c r="B307" s="6">
        <v>260</v>
      </c>
      <c r="C307" s="13" t="s">
        <v>1114</v>
      </c>
      <c r="D307" s="6" t="s">
        <v>10</v>
      </c>
      <c r="E307" s="6" t="s">
        <v>11</v>
      </c>
      <c r="F307" s="6" t="s">
        <v>15</v>
      </c>
      <c r="G307" s="6">
        <v>132</v>
      </c>
      <c r="H307" s="6" t="s">
        <v>16</v>
      </c>
      <c r="I307" s="11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</row>
    <row r="308" spans="1:21" ht="15.75" thickBot="1" x14ac:dyDescent="0.3">
      <c r="A308" s="8" t="s">
        <v>322</v>
      </c>
      <c r="B308" s="5">
        <v>159</v>
      </c>
      <c r="C308" s="14" t="s">
        <v>1115</v>
      </c>
      <c r="D308" s="5" t="s">
        <v>10</v>
      </c>
      <c r="E308" s="5" t="s">
        <v>11</v>
      </c>
      <c r="F308" s="5" t="s">
        <v>12</v>
      </c>
      <c r="G308" s="5">
        <v>103</v>
      </c>
      <c r="H308" s="5" t="s">
        <v>13</v>
      </c>
      <c r="I308" s="10" t="s">
        <v>323</v>
      </c>
      <c r="J308" s="4"/>
      <c r="K308" s="12">
        <f t="shared" ref="K308:K371" si="455">(C309-C308)*1000</f>
        <v>135.39619999999996</v>
      </c>
      <c r="L308" s="4"/>
      <c r="M308" s="12">
        <f t="shared" ref="M308:M371" si="456">K308-$L$2</f>
        <v>21.781773499999957</v>
      </c>
      <c r="N308" s="12">
        <f t="shared" ref="N308" si="457">M308^2</f>
        <v>474.44565680530042</v>
      </c>
      <c r="O308" s="4"/>
      <c r="P308" s="4"/>
      <c r="Q308" s="4"/>
      <c r="R308" s="4"/>
      <c r="S308" s="4"/>
      <c r="T308" s="4"/>
      <c r="U308" s="4"/>
    </row>
    <row r="309" spans="1:21" ht="15.75" thickBot="1" x14ac:dyDescent="0.3">
      <c r="A309" s="9"/>
      <c r="B309" s="6">
        <v>200</v>
      </c>
      <c r="C309" s="13" t="s">
        <v>1116</v>
      </c>
      <c r="D309" s="6" t="s">
        <v>10</v>
      </c>
      <c r="E309" s="6" t="s">
        <v>11</v>
      </c>
      <c r="F309" s="6" t="s">
        <v>15</v>
      </c>
      <c r="G309" s="6">
        <v>132</v>
      </c>
      <c r="H309" s="6" t="s">
        <v>16</v>
      </c>
      <c r="I309" s="11"/>
      <c r="J309" s="4"/>
      <c r="K309" s="12"/>
      <c r="L309" s="4"/>
      <c r="M309" s="4"/>
      <c r="N309" s="4"/>
      <c r="O309" s="4"/>
      <c r="P309" s="4"/>
      <c r="Q309" s="4"/>
      <c r="R309" s="4"/>
      <c r="S309" s="4"/>
      <c r="T309" s="4"/>
      <c r="U309" s="4"/>
    </row>
    <row r="310" spans="1:21" ht="15.75" thickBot="1" x14ac:dyDescent="0.3">
      <c r="A310" s="8" t="s">
        <v>324</v>
      </c>
      <c r="B310" s="5">
        <v>155</v>
      </c>
      <c r="C310" s="14" t="s">
        <v>1117</v>
      </c>
      <c r="D310" s="5" t="s">
        <v>10</v>
      </c>
      <c r="E310" s="5" t="s">
        <v>11</v>
      </c>
      <c r="F310" s="5" t="s">
        <v>12</v>
      </c>
      <c r="G310" s="5">
        <v>103</v>
      </c>
      <c r="H310" s="5" t="s">
        <v>13</v>
      </c>
      <c r="I310" s="10" t="s">
        <v>325</v>
      </c>
      <c r="J310" s="4"/>
      <c r="K310" s="12">
        <f t="shared" ref="K310:K373" si="458">(C311-C310)*1000</f>
        <v>104.92489999999999</v>
      </c>
      <c r="L310" s="4"/>
      <c r="M310" s="12">
        <f t="shared" ref="M310:M373" si="459">K310-$L$2</f>
        <v>-8.6895265000000137</v>
      </c>
      <c r="N310" s="12">
        <f t="shared" ref="N310" si="460">M310^2</f>
        <v>75.507870794202489</v>
      </c>
      <c r="O310" s="4"/>
      <c r="P310" s="4"/>
      <c r="Q310" s="4"/>
      <c r="R310" s="4"/>
      <c r="S310" s="4"/>
      <c r="T310" s="4"/>
      <c r="U310" s="4"/>
    </row>
    <row r="311" spans="1:21" ht="15.75" thickBot="1" x14ac:dyDescent="0.3">
      <c r="A311" s="9"/>
      <c r="B311" s="6">
        <v>182</v>
      </c>
      <c r="C311" s="13" t="s">
        <v>1119</v>
      </c>
      <c r="D311" s="6" t="s">
        <v>10</v>
      </c>
      <c r="E311" s="6" t="s">
        <v>11</v>
      </c>
      <c r="F311" s="6" t="s">
        <v>15</v>
      </c>
      <c r="G311" s="6">
        <v>132</v>
      </c>
      <c r="H311" s="6" t="s">
        <v>16</v>
      </c>
      <c r="I311" s="11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</row>
    <row r="312" spans="1:21" ht="15.75" thickBot="1" x14ac:dyDescent="0.3">
      <c r="A312" s="8" t="s">
        <v>326</v>
      </c>
      <c r="B312" s="5">
        <v>190</v>
      </c>
      <c r="C312" s="14" t="s">
        <v>1118</v>
      </c>
      <c r="D312" s="5" t="s">
        <v>10</v>
      </c>
      <c r="E312" s="5" t="s">
        <v>11</v>
      </c>
      <c r="F312" s="5" t="s">
        <v>12</v>
      </c>
      <c r="G312" s="5">
        <v>103</v>
      </c>
      <c r="H312" s="5" t="s">
        <v>13</v>
      </c>
      <c r="I312" s="10" t="s">
        <v>327</v>
      </c>
      <c r="J312" s="4"/>
      <c r="K312" s="12">
        <f t="shared" ref="K312:K375" si="461">(C313-C312)*1000</f>
        <v>85.075899999999976</v>
      </c>
      <c r="L312" s="4"/>
      <c r="M312" s="12">
        <f t="shared" ref="M312:M375" si="462">K312-$L$2</f>
        <v>-28.538526500000032</v>
      </c>
      <c r="N312" s="12">
        <f t="shared" ref="N312" si="463">M312^2</f>
        <v>814.44749479120401</v>
      </c>
      <c r="O312" s="4"/>
      <c r="P312" s="4"/>
      <c r="Q312" s="4"/>
      <c r="R312" s="4"/>
      <c r="S312" s="4"/>
      <c r="T312" s="4"/>
      <c r="U312" s="4"/>
    </row>
    <row r="313" spans="1:21" ht="15.75" thickBot="1" x14ac:dyDescent="0.3">
      <c r="A313" s="9"/>
      <c r="B313" s="6">
        <v>214</v>
      </c>
      <c r="C313" s="13" t="s">
        <v>1120</v>
      </c>
      <c r="D313" s="6" t="s">
        <v>10</v>
      </c>
      <c r="E313" s="6" t="s">
        <v>11</v>
      </c>
      <c r="F313" s="6" t="s">
        <v>15</v>
      </c>
      <c r="G313" s="6">
        <v>132</v>
      </c>
      <c r="H313" s="6" t="s">
        <v>16</v>
      </c>
      <c r="I313" s="11"/>
      <c r="J313" s="4"/>
      <c r="K313" s="12"/>
      <c r="L313" s="4"/>
      <c r="M313" s="4"/>
      <c r="N313" s="4"/>
      <c r="O313" s="4"/>
      <c r="P313" s="4"/>
      <c r="Q313" s="4"/>
      <c r="R313" s="4"/>
      <c r="S313" s="4"/>
      <c r="T313" s="4"/>
      <c r="U313" s="4"/>
    </row>
    <row r="314" spans="1:21" ht="15.75" thickBot="1" x14ac:dyDescent="0.3">
      <c r="A314" s="8" t="s">
        <v>328</v>
      </c>
      <c r="B314" s="5">
        <v>231</v>
      </c>
      <c r="C314" s="14" t="s">
        <v>1121</v>
      </c>
      <c r="D314" s="5" t="s">
        <v>10</v>
      </c>
      <c r="E314" s="5" t="s">
        <v>11</v>
      </c>
      <c r="F314" s="5" t="s">
        <v>12</v>
      </c>
      <c r="G314" s="5">
        <v>103</v>
      </c>
      <c r="H314" s="5" t="s">
        <v>13</v>
      </c>
      <c r="I314" s="10" t="s">
        <v>329</v>
      </c>
      <c r="J314" s="4"/>
      <c r="K314" s="12">
        <f t="shared" ref="K314:K377" si="464">(C315-C314)*1000</f>
        <v>45.609899999999982</v>
      </c>
      <c r="L314" s="4"/>
      <c r="M314" s="12">
        <f t="shared" ref="M314:M377" si="465">K314-$L$2</f>
        <v>-68.004526500000026</v>
      </c>
      <c r="N314" s="12">
        <f t="shared" ref="N314" si="466">M314^2</f>
        <v>4624.6156244892054</v>
      </c>
      <c r="O314" s="4"/>
      <c r="P314" s="4"/>
      <c r="Q314" s="4"/>
      <c r="R314" s="4"/>
      <c r="S314" s="4"/>
      <c r="T314" s="4"/>
      <c r="U314" s="4"/>
    </row>
    <row r="315" spans="1:21" ht="15.75" thickBot="1" x14ac:dyDescent="0.3">
      <c r="A315" s="9"/>
      <c r="B315" s="6">
        <v>246</v>
      </c>
      <c r="C315" s="13" t="s">
        <v>1122</v>
      </c>
      <c r="D315" s="6" t="s">
        <v>10</v>
      </c>
      <c r="E315" s="6" t="s">
        <v>11</v>
      </c>
      <c r="F315" s="6" t="s">
        <v>15</v>
      </c>
      <c r="G315" s="6">
        <v>132</v>
      </c>
      <c r="H315" s="6" t="s">
        <v>16</v>
      </c>
      <c r="I315" s="11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</row>
    <row r="316" spans="1:21" ht="15.75" thickBot="1" x14ac:dyDescent="0.3">
      <c r="A316" s="8" t="s">
        <v>330</v>
      </c>
      <c r="B316" s="5">
        <v>202</v>
      </c>
      <c r="C316" s="14" t="s">
        <v>1123</v>
      </c>
      <c r="D316" s="5" t="s">
        <v>10</v>
      </c>
      <c r="E316" s="5" t="s">
        <v>11</v>
      </c>
      <c r="F316" s="5" t="s">
        <v>12</v>
      </c>
      <c r="G316" s="5">
        <v>103</v>
      </c>
      <c r="H316" s="5" t="s">
        <v>13</v>
      </c>
      <c r="I316" s="10" t="s">
        <v>331</v>
      </c>
      <c r="J316" s="4"/>
      <c r="K316" s="12">
        <f t="shared" ref="K316:K379" si="467">(C317-C316)*1000</f>
        <v>147.76819999999989</v>
      </c>
      <c r="L316" s="4"/>
      <c r="M316" s="12">
        <f t="shared" ref="M316:M379" si="468">K316-$L$2</f>
        <v>34.153773499999886</v>
      </c>
      <c r="N316" s="12">
        <f t="shared" ref="N316" si="469">M316^2</f>
        <v>1166.4802442892944</v>
      </c>
      <c r="O316" s="4"/>
      <c r="P316" s="4"/>
      <c r="Q316" s="4"/>
      <c r="R316" s="4"/>
      <c r="S316" s="4"/>
      <c r="T316" s="4"/>
      <c r="U316" s="4"/>
    </row>
    <row r="317" spans="1:21" ht="15.75" thickBot="1" x14ac:dyDescent="0.3">
      <c r="A317" s="9"/>
      <c r="B317" s="6">
        <v>242</v>
      </c>
      <c r="C317" s="13" t="s">
        <v>1124</v>
      </c>
      <c r="D317" s="6" t="s">
        <v>10</v>
      </c>
      <c r="E317" s="6" t="s">
        <v>11</v>
      </c>
      <c r="F317" s="6" t="s">
        <v>15</v>
      </c>
      <c r="G317" s="6">
        <v>132</v>
      </c>
      <c r="H317" s="6" t="s">
        <v>16</v>
      </c>
      <c r="I317" s="11"/>
      <c r="J317" s="4"/>
      <c r="K317" s="12"/>
      <c r="L317" s="4"/>
      <c r="M317" s="4"/>
      <c r="N317" s="4"/>
      <c r="O317" s="4"/>
      <c r="P317" s="4"/>
      <c r="Q317" s="4"/>
      <c r="R317" s="4"/>
      <c r="S317" s="4"/>
      <c r="T317" s="4"/>
      <c r="U317" s="4"/>
    </row>
    <row r="318" spans="1:21" ht="15.75" thickBot="1" x14ac:dyDescent="0.3">
      <c r="A318" s="8" t="s">
        <v>332</v>
      </c>
      <c r="B318" s="5">
        <v>231</v>
      </c>
      <c r="C318" s="14" t="s">
        <v>1125</v>
      </c>
      <c r="D318" s="5" t="s">
        <v>10</v>
      </c>
      <c r="E318" s="5" t="s">
        <v>11</v>
      </c>
      <c r="F318" s="5" t="s">
        <v>12</v>
      </c>
      <c r="G318" s="5">
        <v>103</v>
      </c>
      <c r="H318" s="5" t="s">
        <v>13</v>
      </c>
      <c r="I318" s="10" t="s">
        <v>333</v>
      </c>
      <c r="J318" s="4"/>
      <c r="K318" s="12">
        <f t="shared" ref="K318:K381" si="470">(C319-C318)*1000</f>
        <v>116.01790000000011</v>
      </c>
      <c r="L318" s="4"/>
      <c r="M318" s="12">
        <f t="shared" ref="M318:M381" si="471">K318-$L$2</f>
        <v>2.4034735000001035</v>
      </c>
      <c r="N318" s="12">
        <f t="shared" ref="N318" si="472">M318^2</f>
        <v>5.7766848652027472</v>
      </c>
      <c r="O318" s="4"/>
      <c r="P318" s="4"/>
      <c r="Q318" s="4"/>
      <c r="R318" s="4"/>
      <c r="S318" s="4"/>
      <c r="T318" s="4"/>
      <c r="U318" s="4"/>
    </row>
    <row r="319" spans="1:21" ht="15.75" thickBot="1" x14ac:dyDescent="0.3">
      <c r="A319" s="9"/>
      <c r="B319" s="6">
        <v>260</v>
      </c>
      <c r="C319" s="13" t="s">
        <v>1126</v>
      </c>
      <c r="D319" s="6" t="s">
        <v>10</v>
      </c>
      <c r="E319" s="6" t="s">
        <v>11</v>
      </c>
      <c r="F319" s="6" t="s">
        <v>15</v>
      </c>
      <c r="G319" s="6">
        <v>132</v>
      </c>
      <c r="H319" s="6" t="s">
        <v>16</v>
      </c>
      <c r="I319" s="11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</row>
    <row r="320" spans="1:21" ht="15.75" thickBot="1" x14ac:dyDescent="0.3">
      <c r="A320" s="8" t="s">
        <v>334</v>
      </c>
      <c r="B320" s="5">
        <v>197</v>
      </c>
      <c r="C320" s="14" t="s">
        <v>1127</v>
      </c>
      <c r="D320" s="5" t="s">
        <v>10</v>
      </c>
      <c r="E320" s="5" t="s">
        <v>11</v>
      </c>
      <c r="F320" s="5" t="s">
        <v>12</v>
      </c>
      <c r="G320" s="5">
        <v>103</v>
      </c>
      <c r="H320" s="5" t="s">
        <v>13</v>
      </c>
      <c r="I320" s="10" t="s">
        <v>335</v>
      </c>
      <c r="J320" s="4"/>
      <c r="K320" s="12">
        <f t="shared" ref="K320:K383" si="473">(C321-C320)*1000</f>
        <v>79.966900000000066</v>
      </c>
      <c r="L320" s="4"/>
      <c r="M320" s="12">
        <f t="shared" ref="M320:M383" si="474">K320-$L$2</f>
        <v>-33.647526499999941</v>
      </c>
      <c r="N320" s="12">
        <f t="shared" ref="N320" si="475">M320^2</f>
        <v>1132.1560395681984</v>
      </c>
      <c r="O320" s="4"/>
      <c r="P320" s="4"/>
      <c r="Q320" s="4"/>
      <c r="R320" s="4"/>
      <c r="S320" s="4"/>
      <c r="T320" s="4"/>
      <c r="U320" s="4"/>
    </row>
    <row r="321" spans="1:21" ht="15.75" thickBot="1" x14ac:dyDescent="0.3">
      <c r="A321" s="9"/>
      <c r="B321" s="6">
        <v>218</v>
      </c>
      <c r="C321" s="13" t="s">
        <v>1128</v>
      </c>
      <c r="D321" s="6" t="s">
        <v>10</v>
      </c>
      <c r="E321" s="6" t="s">
        <v>11</v>
      </c>
      <c r="F321" s="6" t="s">
        <v>15</v>
      </c>
      <c r="G321" s="6">
        <v>132</v>
      </c>
      <c r="H321" s="6" t="s">
        <v>16</v>
      </c>
      <c r="I321" s="11"/>
      <c r="J321" s="4"/>
      <c r="K321" s="12"/>
      <c r="L321" s="4"/>
      <c r="M321" s="4"/>
      <c r="N321" s="4"/>
      <c r="O321" s="4"/>
      <c r="P321" s="4"/>
      <c r="Q321" s="4"/>
      <c r="R321" s="4"/>
      <c r="S321" s="4"/>
      <c r="T321" s="4"/>
      <c r="U321" s="4"/>
    </row>
    <row r="322" spans="1:21" ht="15.75" thickBot="1" x14ac:dyDescent="0.3">
      <c r="A322" s="8" t="s">
        <v>336</v>
      </c>
      <c r="B322" s="5">
        <v>176</v>
      </c>
      <c r="C322" s="14" t="s">
        <v>1134</v>
      </c>
      <c r="D322" s="5" t="s">
        <v>10</v>
      </c>
      <c r="E322" s="5" t="s">
        <v>11</v>
      </c>
      <c r="F322" s="5" t="s">
        <v>12</v>
      </c>
      <c r="G322" s="5">
        <v>103</v>
      </c>
      <c r="H322" s="5" t="s">
        <v>13</v>
      </c>
      <c r="I322" s="10" t="s">
        <v>337</v>
      </c>
      <c r="J322" s="4"/>
      <c r="K322" s="12">
        <f t="shared" ref="K322:K385" si="476">(C323-C322)*1000</f>
        <v>92.338000000000036</v>
      </c>
      <c r="L322" s="4"/>
      <c r="M322" s="12">
        <f t="shared" ref="M322:M385" si="477">K322-$L$2</f>
        <v>-21.276426499999971</v>
      </c>
      <c r="N322" s="12">
        <f t="shared" ref="N322" si="478">M322^2</f>
        <v>452.68632460990102</v>
      </c>
      <c r="O322" s="4"/>
      <c r="P322" s="4"/>
      <c r="Q322" s="4"/>
      <c r="R322" s="4"/>
      <c r="S322" s="4"/>
      <c r="T322" s="4"/>
      <c r="U322" s="4"/>
    </row>
    <row r="323" spans="1:21" ht="15.75" thickBot="1" x14ac:dyDescent="0.3">
      <c r="A323" s="9"/>
      <c r="B323" s="6">
        <v>204</v>
      </c>
      <c r="C323" s="13" t="s">
        <v>1129</v>
      </c>
      <c r="D323" s="6" t="s">
        <v>10</v>
      </c>
      <c r="E323" s="6" t="s">
        <v>11</v>
      </c>
      <c r="F323" s="6" t="s">
        <v>15</v>
      </c>
      <c r="G323" s="6">
        <v>132</v>
      </c>
      <c r="H323" s="6" t="s">
        <v>16</v>
      </c>
      <c r="I323" s="11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</row>
    <row r="324" spans="1:21" ht="15.75" thickBot="1" x14ac:dyDescent="0.3">
      <c r="A324" s="8" t="s">
        <v>338</v>
      </c>
      <c r="B324" s="5">
        <v>207</v>
      </c>
      <c r="C324" s="14" t="s">
        <v>1130</v>
      </c>
      <c r="D324" s="5" t="s">
        <v>10</v>
      </c>
      <c r="E324" s="5" t="s">
        <v>11</v>
      </c>
      <c r="F324" s="5" t="s">
        <v>12</v>
      </c>
      <c r="G324" s="5">
        <v>103</v>
      </c>
      <c r="H324" s="5" t="s">
        <v>13</v>
      </c>
      <c r="I324" s="10" t="s">
        <v>339</v>
      </c>
      <c r="J324" s="4"/>
      <c r="K324" s="12">
        <f t="shared" ref="K324:K387" si="479">(C325-C324)*1000</f>
        <v>75.404000000000025</v>
      </c>
      <c r="L324" s="4"/>
      <c r="M324" s="12">
        <f t="shared" ref="M324:M387" si="480">K324-$L$2</f>
        <v>-38.210426499999983</v>
      </c>
      <c r="N324" s="12">
        <f t="shared" ref="N324" si="481">M324^2</f>
        <v>1460.036693311901</v>
      </c>
      <c r="O324" s="4"/>
      <c r="P324" s="4"/>
      <c r="Q324" s="4"/>
      <c r="R324" s="4"/>
      <c r="S324" s="4"/>
      <c r="T324" s="4"/>
      <c r="U324" s="4"/>
    </row>
    <row r="325" spans="1:21" ht="15.75" thickBot="1" x14ac:dyDescent="0.3">
      <c r="A325" s="9"/>
      <c r="B325" s="6">
        <v>229</v>
      </c>
      <c r="C325" s="13" t="s">
        <v>1131</v>
      </c>
      <c r="D325" s="6" t="s">
        <v>10</v>
      </c>
      <c r="E325" s="6" t="s">
        <v>11</v>
      </c>
      <c r="F325" s="6" t="s">
        <v>15</v>
      </c>
      <c r="G325" s="6">
        <v>132</v>
      </c>
      <c r="H325" s="6" t="s">
        <v>16</v>
      </c>
      <c r="I325" s="11"/>
      <c r="J325" s="4"/>
      <c r="K325" s="12"/>
      <c r="L325" s="4"/>
      <c r="M325" s="4"/>
      <c r="N325" s="4"/>
      <c r="O325" s="4"/>
      <c r="P325" s="4"/>
      <c r="Q325" s="4"/>
      <c r="R325" s="4"/>
      <c r="S325" s="4"/>
      <c r="T325" s="4"/>
      <c r="U325" s="4"/>
    </row>
    <row r="326" spans="1:21" ht="15.75" thickBot="1" x14ac:dyDescent="0.3">
      <c r="A326" s="8" t="s">
        <v>340</v>
      </c>
      <c r="B326" s="5">
        <v>163</v>
      </c>
      <c r="C326" s="14" t="s">
        <v>1132</v>
      </c>
      <c r="D326" s="5" t="s">
        <v>10</v>
      </c>
      <c r="E326" s="5" t="s">
        <v>11</v>
      </c>
      <c r="F326" s="5" t="s">
        <v>12</v>
      </c>
      <c r="G326" s="5">
        <v>103</v>
      </c>
      <c r="H326" s="5" t="s">
        <v>13</v>
      </c>
      <c r="I326" s="10" t="s">
        <v>341</v>
      </c>
      <c r="J326" s="4"/>
      <c r="K326" s="12">
        <f t="shared" ref="K326:K389" si="482">(C327-C326)*1000</f>
        <v>153.38730000000001</v>
      </c>
      <c r="L326" s="4"/>
      <c r="M326" s="12">
        <f t="shared" ref="M326:M389" si="483">K326-$L$2</f>
        <v>39.772873500000003</v>
      </c>
      <c r="N326" s="12">
        <f t="shared" ref="N326" si="484">M326^2</f>
        <v>1581.8814664470024</v>
      </c>
      <c r="O326" s="4"/>
      <c r="P326" s="4"/>
      <c r="Q326" s="4"/>
      <c r="R326" s="4"/>
      <c r="S326" s="4"/>
      <c r="T326" s="4"/>
      <c r="U326" s="4"/>
    </row>
    <row r="327" spans="1:21" ht="15.75" thickBot="1" x14ac:dyDescent="0.3">
      <c r="A327" s="9"/>
      <c r="B327" s="6">
        <v>201</v>
      </c>
      <c r="C327" s="13" t="s">
        <v>1133</v>
      </c>
      <c r="D327" s="6" t="s">
        <v>10</v>
      </c>
      <c r="E327" s="6" t="s">
        <v>11</v>
      </c>
      <c r="F327" s="6" t="s">
        <v>15</v>
      </c>
      <c r="G327" s="6">
        <v>132</v>
      </c>
      <c r="H327" s="6" t="s">
        <v>16</v>
      </c>
      <c r="I327" s="11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</row>
    <row r="328" spans="1:21" ht="15.75" thickBot="1" x14ac:dyDescent="0.3">
      <c r="A328" s="8" t="s">
        <v>342</v>
      </c>
      <c r="B328" s="5">
        <v>174</v>
      </c>
      <c r="C328" s="14" t="s">
        <v>1135</v>
      </c>
      <c r="D328" s="5" t="s">
        <v>10</v>
      </c>
      <c r="E328" s="5" t="s">
        <v>11</v>
      </c>
      <c r="F328" s="5" t="s">
        <v>12</v>
      </c>
      <c r="G328" s="5">
        <v>103</v>
      </c>
      <c r="H328" s="5" t="s">
        <v>13</v>
      </c>
      <c r="I328" s="10" t="s">
        <v>343</v>
      </c>
      <c r="J328" s="4"/>
      <c r="K328" s="12">
        <f t="shared" ref="K328:K391" si="485">(C329-C328)*1000</f>
        <v>101.57459999999996</v>
      </c>
      <c r="L328" s="4"/>
      <c r="M328" s="12">
        <f t="shared" ref="M328:M391" si="486">K328-$L$2</f>
        <v>-12.039826500000046</v>
      </c>
      <c r="N328" s="12">
        <f t="shared" ref="N328" si="487">M328^2</f>
        <v>144.95742215010335</v>
      </c>
      <c r="O328" s="4"/>
      <c r="P328" s="4"/>
      <c r="Q328" s="4"/>
      <c r="R328" s="4"/>
      <c r="S328" s="4"/>
      <c r="T328" s="4"/>
      <c r="U328" s="4"/>
    </row>
    <row r="329" spans="1:21" ht="15.75" thickBot="1" x14ac:dyDescent="0.3">
      <c r="A329" s="9"/>
      <c r="B329" s="6">
        <v>205</v>
      </c>
      <c r="C329" s="13" t="s">
        <v>1136</v>
      </c>
      <c r="D329" s="6" t="s">
        <v>10</v>
      </c>
      <c r="E329" s="6" t="s">
        <v>11</v>
      </c>
      <c r="F329" s="6" t="s">
        <v>15</v>
      </c>
      <c r="G329" s="6">
        <v>132</v>
      </c>
      <c r="H329" s="6" t="s">
        <v>16</v>
      </c>
      <c r="I329" s="11"/>
      <c r="J329" s="4"/>
      <c r="K329" s="12"/>
      <c r="L329" s="4"/>
      <c r="M329" s="4"/>
      <c r="N329" s="4"/>
      <c r="O329" s="4"/>
      <c r="P329" s="4"/>
      <c r="Q329" s="4"/>
      <c r="R329" s="4"/>
      <c r="S329" s="4"/>
      <c r="T329" s="4"/>
      <c r="U329" s="4"/>
    </row>
    <row r="330" spans="1:21" ht="15.75" thickBot="1" x14ac:dyDescent="0.3">
      <c r="A330" s="8" t="s">
        <v>344</v>
      </c>
      <c r="B330" s="5">
        <v>236</v>
      </c>
      <c r="C330" s="14" t="s">
        <v>1137</v>
      </c>
      <c r="D330" s="5" t="s">
        <v>10</v>
      </c>
      <c r="E330" s="5" t="s">
        <v>11</v>
      </c>
      <c r="F330" s="5" t="s">
        <v>12</v>
      </c>
      <c r="G330" s="5">
        <v>103</v>
      </c>
      <c r="H330" s="5" t="s">
        <v>13</v>
      </c>
      <c r="I330" s="10" t="s">
        <v>345</v>
      </c>
      <c r="J330" s="4"/>
      <c r="K330" s="12">
        <f t="shared" ref="K330:K393" si="488">(C331-C330)*1000</f>
        <v>99.436399999999978</v>
      </c>
      <c r="L330" s="4"/>
      <c r="M330" s="12">
        <f t="shared" ref="M330:M393" si="489">K330-$L$2</f>
        <v>-14.17802650000003</v>
      </c>
      <c r="N330" s="12">
        <f t="shared" ref="N330" si="490">M330^2</f>
        <v>201.01643543470308</v>
      </c>
      <c r="O330" s="4"/>
      <c r="P330" s="4"/>
      <c r="Q330" s="4"/>
      <c r="R330" s="4"/>
      <c r="S330" s="4"/>
      <c r="T330" s="4"/>
      <c r="U330" s="4"/>
    </row>
    <row r="331" spans="1:21" ht="15.75" thickBot="1" x14ac:dyDescent="0.3">
      <c r="A331" s="9"/>
      <c r="B331" s="6">
        <v>262</v>
      </c>
      <c r="C331" s="13" t="s">
        <v>1138</v>
      </c>
      <c r="D331" s="6" t="s">
        <v>10</v>
      </c>
      <c r="E331" s="6" t="s">
        <v>11</v>
      </c>
      <c r="F331" s="6" t="s">
        <v>15</v>
      </c>
      <c r="G331" s="6">
        <v>132</v>
      </c>
      <c r="H331" s="6" t="s">
        <v>16</v>
      </c>
      <c r="I331" s="11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</row>
    <row r="332" spans="1:21" ht="15.75" thickBot="1" x14ac:dyDescent="0.3">
      <c r="A332" s="8" t="s">
        <v>346</v>
      </c>
      <c r="B332" s="5">
        <v>191</v>
      </c>
      <c r="C332" s="14" t="s">
        <v>1139</v>
      </c>
      <c r="D332" s="5" t="s">
        <v>10</v>
      </c>
      <c r="E332" s="5" t="s">
        <v>11</v>
      </c>
      <c r="F332" s="5" t="s">
        <v>12</v>
      </c>
      <c r="G332" s="5">
        <v>103</v>
      </c>
      <c r="H332" s="5" t="s">
        <v>13</v>
      </c>
      <c r="I332" s="10" t="s">
        <v>347</v>
      </c>
      <c r="J332" s="4"/>
      <c r="K332" s="12">
        <f t="shared" ref="K332:K395" si="491">(C333-C332)*1000</f>
        <v>114.28850000000001</v>
      </c>
      <c r="L332" s="4"/>
      <c r="M332" s="12">
        <f t="shared" ref="M332:M395" si="492">K332-$L$2</f>
        <v>0.67407350000000577</v>
      </c>
      <c r="N332" s="12">
        <f t="shared" ref="N332" si="493">M332^2</f>
        <v>0.4543750834022578</v>
      </c>
      <c r="O332" s="4"/>
      <c r="P332" s="4"/>
      <c r="Q332" s="4"/>
      <c r="R332" s="4"/>
      <c r="S332" s="4"/>
      <c r="T332" s="4"/>
      <c r="U332" s="4"/>
    </row>
    <row r="333" spans="1:21" ht="15.75" thickBot="1" x14ac:dyDescent="0.3">
      <c r="A333" s="9"/>
      <c r="B333" s="6">
        <v>223</v>
      </c>
      <c r="C333" s="13" t="s">
        <v>1140</v>
      </c>
      <c r="D333" s="6" t="s">
        <v>10</v>
      </c>
      <c r="E333" s="6" t="s">
        <v>11</v>
      </c>
      <c r="F333" s="6" t="s">
        <v>15</v>
      </c>
      <c r="G333" s="6">
        <v>132</v>
      </c>
      <c r="H333" s="6" t="s">
        <v>16</v>
      </c>
      <c r="I333" s="11"/>
      <c r="J333" s="4"/>
      <c r="K333" s="12"/>
      <c r="L333" s="4"/>
      <c r="M333" s="4"/>
      <c r="N333" s="4"/>
      <c r="O333" s="4"/>
      <c r="P333" s="4"/>
      <c r="Q333" s="4"/>
      <c r="R333" s="4"/>
      <c r="S333" s="4"/>
      <c r="T333" s="4"/>
      <c r="U333" s="4"/>
    </row>
    <row r="334" spans="1:21" ht="15.75" thickBot="1" x14ac:dyDescent="0.3">
      <c r="A334" s="8" t="s">
        <v>348</v>
      </c>
      <c r="B334" s="5">
        <v>205</v>
      </c>
      <c r="C334" s="14" t="s">
        <v>1141</v>
      </c>
      <c r="D334" s="5" t="s">
        <v>10</v>
      </c>
      <c r="E334" s="5" t="s">
        <v>11</v>
      </c>
      <c r="F334" s="5" t="s">
        <v>12</v>
      </c>
      <c r="G334" s="5">
        <v>103</v>
      </c>
      <c r="H334" s="5" t="s">
        <v>13</v>
      </c>
      <c r="I334" s="10" t="s">
        <v>349</v>
      </c>
      <c r="J334" s="4"/>
      <c r="K334" s="12">
        <f t="shared" ref="K334:K397" si="494">(C335-C334)*1000</f>
        <v>170.10690000000005</v>
      </c>
      <c r="L334" s="4"/>
      <c r="M334" s="12">
        <f t="shared" ref="M334:M397" si="495">K334-$L$2</f>
        <v>56.492473500000045</v>
      </c>
      <c r="N334" s="12">
        <f t="shared" ref="N334" si="496">M334^2</f>
        <v>3191.3995621482072</v>
      </c>
      <c r="O334" s="4"/>
      <c r="P334" s="4"/>
      <c r="Q334" s="4"/>
      <c r="R334" s="4"/>
      <c r="S334" s="4"/>
      <c r="T334" s="4"/>
      <c r="U334" s="4"/>
    </row>
    <row r="335" spans="1:21" ht="15.75" thickBot="1" x14ac:dyDescent="0.3">
      <c r="A335" s="9"/>
      <c r="B335" s="6">
        <v>247</v>
      </c>
      <c r="C335" s="13" t="s">
        <v>1142</v>
      </c>
      <c r="D335" s="6" t="s">
        <v>10</v>
      </c>
      <c r="E335" s="6" t="s">
        <v>11</v>
      </c>
      <c r="F335" s="6" t="s">
        <v>15</v>
      </c>
      <c r="G335" s="6">
        <v>132</v>
      </c>
      <c r="H335" s="6" t="s">
        <v>16</v>
      </c>
      <c r="I335" s="11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</row>
    <row r="336" spans="1:21" ht="15.75" thickBot="1" x14ac:dyDescent="0.3">
      <c r="A336" s="8" t="s">
        <v>350</v>
      </c>
      <c r="B336" s="5">
        <v>246</v>
      </c>
      <c r="C336" s="14" t="s">
        <v>1143</v>
      </c>
      <c r="D336" s="5" t="s">
        <v>10</v>
      </c>
      <c r="E336" s="5" t="s">
        <v>11</v>
      </c>
      <c r="F336" s="5" t="s">
        <v>12</v>
      </c>
      <c r="G336" s="5">
        <v>103</v>
      </c>
      <c r="H336" s="5" t="s">
        <v>13</v>
      </c>
      <c r="I336" s="10" t="s">
        <v>20</v>
      </c>
      <c r="J336" s="4"/>
      <c r="K336" s="12">
        <f t="shared" ref="K336:K399" si="497">(C337-C336)*1000</f>
        <v>36.638300000000122</v>
      </c>
      <c r="L336" s="4"/>
      <c r="M336" s="12">
        <f t="shared" ref="M336:M399" si="498">K336-$L$2</f>
        <v>-76.976126499999879</v>
      </c>
      <c r="N336" s="12">
        <f t="shared" ref="N336" si="499">M336^2</f>
        <v>5925.3240509439838</v>
      </c>
      <c r="O336" s="4"/>
      <c r="P336" s="4"/>
      <c r="Q336" s="4"/>
      <c r="R336" s="4"/>
      <c r="S336" s="4"/>
      <c r="T336" s="4"/>
      <c r="U336" s="4"/>
    </row>
    <row r="337" spans="1:21" ht="15.75" thickBot="1" x14ac:dyDescent="0.3">
      <c r="A337" s="9"/>
      <c r="B337" s="6">
        <v>257</v>
      </c>
      <c r="C337" s="13" t="s">
        <v>1144</v>
      </c>
      <c r="D337" s="6" t="s">
        <v>10</v>
      </c>
      <c r="E337" s="6" t="s">
        <v>11</v>
      </c>
      <c r="F337" s="6" t="s">
        <v>15</v>
      </c>
      <c r="G337" s="6">
        <v>132</v>
      </c>
      <c r="H337" s="6" t="s">
        <v>16</v>
      </c>
      <c r="I337" s="11"/>
      <c r="J337" s="4"/>
      <c r="K337" s="12"/>
      <c r="L337" s="4"/>
      <c r="M337" s="4"/>
      <c r="N337" s="4"/>
      <c r="O337" s="4"/>
      <c r="P337" s="4"/>
      <c r="Q337" s="4"/>
      <c r="R337" s="4"/>
      <c r="S337" s="4"/>
      <c r="T337" s="4"/>
      <c r="U337" s="4"/>
    </row>
    <row r="338" spans="1:21" ht="15.75" thickBot="1" x14ac:dyDescent="0.3">
      <c r="A338" s="8" t="s">
        <v>351</v>
      </c>
      <c r="B338" s="5">
        <v>205</v>
      </c>
      <c r="C338" s="14" t="s">
        <v>1145</v>
      </c>
      <c r="D338" s="5" t="s">
        <v>10</v>
      </c>
      <c r="E338" s="5" t="s">
        <v>11</v>
      </c>
      <c r="F338" s="5" t="s">
        <v>12</v>
      </c>
      <c r="G338" s="5">
        <v>103</v>
      </c>
      <c r="H338" s="5" t="s">
        <v>13</v>
      </c>
      <c r="I338" s="10" t="s">
        <v>352</v>
      </c>
      <c r="J338" s="4"/>
      <c r="K338" s="12">
        <f t="shared" ref="K338:K401" si="500">(C339-C338)*1000</f>
        <v>140.84150000000005</v>
      </c>
      <c r="L338" s="4"/>
      <c r="M338" s="12">
        <f t="shared" ref="M338:M401" si="501">K338-$L$2</f>
        <v>27.227073500000046</v>
      </c>
      <c r="N338" s="12">
        <f t="shared" ref="N338" si="502">M338^2</f>
        <v>741.31353137440476</v>
      </c>
      <c r="O338" s="4"/>
      <c r="P338" s="4"/>
      <c r="Q338" s="4"/>
      <c r="R338" s="4"/>
      <c r="S338" s="4"/>
      <c r="T338" s="4"/>
      <c r="U338" s="4"/>
    </row>
    <row r="339" spans="1:21" ht="15.75" thickBot="1" x14ac:dyDescent="0.3">
      <c r="A339" s="9"/>
      <c r="B339" s="6">
        <v>240</v>
      </c>
      <c r="C339" s="13" t="s">
        <v>1146</v>
      </c>
      <c r="D339" s="6" t="s">
        <v>10</v>
      </c>
      <c r="E339" s="6" t="s">
        <v>11</v>
      </c>
      <c r="F339" s="6" t="s">
        <v>15</v>
      </c>
      <c r="G339" s="6">
        <v>132</v>
      </c>
      <c r="H339" s="6" t="s">
        <v>16</v>
      </c>
      <c r="I339" s="11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</row>
    <row r="340" spans="1:21" ht="15.75" thickBot="1" x14ac:dyDescent="0.3">
      <c r="A340" s="8" t="s">
        <v>353</v>
      </c>
      <c r="B340" s="5">
        <v>194</v>
      </c>
      <c r="C340" s="14" t="s">
        <v>1147</v>
      </c>
      <c r="D340" s="5" t="s">
        <v>10</v>
      </c>
      <c r="E340" s="5" t="s">
        <v>11</v>
      </c>
      <c r="F340" s="5" t="s">
        <v>12</v>
      </c>
      <c r="G340" s="5">
        <v>103</v>
      </c>
      <c r="H340" s="5" t="s">
        <v>13</v>
      </c>
      <c r="I340" s="10" t="s">
        <v>354</v>
      </c>
      <c r="J340" s="4"/>
      <c r="K340" s="12">
        <f t="shared" ref="K340:K403" si="503">(C341-C340)*1000</f>
        <v>140.4398000000001</v>
      </c>
      <c r="L340" s="4"/>
      <c r="M340" s="12">
        <f t="shared" ref="M340:M403" si="504">K340-$L$2</f>
        <v>26.825373500000097</v>
      </c>
      <c r="N340" s="12">
        <f t="shared" ref="N340" si="505">M340^2</f>
        <v>719.60066341450749</v>
      </c>
      <c r="O340" s="4"/>
      <c r="P340" s="4"/>
      <c r="Q340" s="4"/>
      <c r="R340" s="4"/>
      <c r="S340" s="4"/>
      <c r="T340" s="4"/>
      <c r="U340" s="4"/>
    </row>
    <row r="341" spans="1:21" ht="15.75" thickBot="1" x14ac:dyDescent="0.3">
      <c r="A341" s="9"/>
      <c r="B341" s="6">
        <v>236</v>
      </c>
      <c r="C341" s="13" t="s">
        <v>1148</v>
      </c>
      <c r="D341" s="6" t="s">
        <v>10</v>
      </c>
      <c r="E341" s="6" t="s">
        <v>11</v>
      </c>
      <c r="F341" s="6" t="s">
        <v>15</v>
      </c>
      <c r="G341" s="6">
        <v>132</v>
      </c>
      <c r="H341" s="6" t="s">
        <v>16</v>
      </c>
      <c r="I341" s="11"/>
      <c r="J341" s="4"/>
      <c r="K341" s="12"/>
      <c r="L341" s="4"/>
      <c r="M341" s="4"/>
      <c r="N341" s="4"/>
      <c r="O341" s="4"/>
      <c r="P341" s="4"/>
      <c r="Q341" s="4"/>
      <c r="R341" s="4"/>
      <c r="S341" s="4"/>
      <c r="T341" s="4"/>
      <c r="U341" s="4"/>
    </row>
    <row r="342" spans="1:21" ht="15.75" thickBot="1" x14ac:dyDescent="0.3">
      <c r="A342" s="8" t="s">
        <v>355</v>
      </c>
      <c r="B342" s="5">
        <v>204</v>
      </c>
      <c r="C342" s="14" t="s">
        <v>1149</v>
      </c>
      <c r="D342" s="5" t="s">
        <v>10</v>
      </c>
      <c r="E342" s="5" t="s">
        <v>11</v>
      </c>
      <c r="F342" s="5" t="s">
        <v>12</v>
      </c>
      <c r="G342" s="5">
        <v>103</v>
      </c>
      <c r="H342" s="5" t="s">
        <v>13</v>
      </c>
      <c r="I342" s="10" t="s">
        <v>356</v>
      </c>
      <c r="J342" s="4"/>
      <c r="K342" s="12">
        <f t="shared" ref="K342:K405" si="506">(C343-C342)*1000</f>
        <v>47.061600000000034</v>
      </c>
      <c r="L342" s="4"/>
      <c r="M342" s="12">
        <f t="shared" ref="M342:M405" si="507">K342-$L$2</f>
        <v>-66.552826499999981</v>
      </c>
      <c r="N342" s="12">
        <f t="shared" ref="N342" si="508">M342^2</f>
        <v>4429.2787151390994</v>
      </c>
      <c r="O342" s="4"/>
      <c r="P342" s="4"/>
      <c r="Q342" s="4"/>
      <c r="R342" s="4"/>
      <c r="S342" s="4"/>
      <c r="T342" s="4"/>
      <c r="U342" s="4"/>
    </row>
    <row r="343" spans="1:21" ht="15.75" thickBot="1" x14ac:dyDescent="0.3">
      <c r="A343" s="9"/>
      <c r="B343" s="6">
        <v>221</v>
      </c>
      <c r="C343" s="13" t="s">
        <v>1150</v>
      </c>
      <c r="D343" s="6" t="s">
        <v>10</v>
      </c>
      <c r="E343" s="6" t="s">
        <v>11</v>
      </c>
      <c r="F343" s="6" t="s">
        <v>15</v>
      </c>
      <c r="G343" s="6">
        <v>132</v>
      </c>
      <c r="H343" s="6" t="s">
        <v>16</v>
      </c>
      <c r="I343" s="11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</row>
    <row r="344" spans="1:21" ht="15.75" thickBot="1" x14ac:dyDescent="0.3">
      <c r="A344" s="8" t="s">
        <v>357</v>
      </c>
      <c r="B344" s="5">
        <v>210</v>
      </c>
      <c r="C344" s="14" t="s">
        <v>1151</v>
      </c>
      <c r="D344" s="5" t="s">
        <v>10</v>
      </c>
      <c r="E344" s="5" t="s">
        <v>11</v>
      </c>
      <c r="F344" s="5" t="s">
        <v>12</v>
      </c>
      <c r="G344" s="5">
        <v>103</v>
      </c>
      <c r="H344" s="5" t="s">
        <v>13</v>
      </c>
      <c r="I344" s="10" t="s">
        <v>358</v>
      </c>
      <c r="J344" s="4"/>
      <c r="K344" s="12">
        <f t="shared" ref="K344:K407" si="509">(C345-C344)*1000</f>
        <v>121.92879999999995</v>
      </c>
      <c r="L344" s="4"/>
      <c r="M344" s="12">
        <f t="shared" ref="M344:M407" si="510">K344-$L$2</f>
        <v>8.3143734999999452</v>
      </c>
      <c r="N344" s="12">
        <f t="shared" ref="N344" si="511">M344^2</f>
        <v>69.128806697501346</v>
      </c>
      <c r="O344" s="4"/>
      <c r="P344" s="4"/>
      <c r="Q344" s="4"/>
      <c r="R344" s="4"/>
      <c r="S344" s="4"/>
      <c r="T344" s="4"/>
      <c r="U344" s="4"/>
    </row>
    <row r="345" spans="1:21" ht="15.75" thickBot="1" x14ac:dyDescent="0.3">
      <c r="A345" s="9"/>
      <c r="B345" s="6">
        <v>242</v>
      </c>
      <c r="C345" s="13" t="s">
        <v>1152</v>
      </c>
      <c r="D345" s="6" t="s">
        <v>10</v>
      </c>
      <c r="E345" s="6" t="s">
        <v>11</v>
      </c>
      <c r="F345" s="6" t="s">
        <v>15</v>
      </c>
      <c r="G345" s="6">
        <v>132</v>
      </c>
      <c r="H345" s="6" t="s">
        <v>16</v>
      </c>
      <c r="I345" s="11"/>
      <c r="J345" s="4"/>
      <c r="K345" s="12"/>
      <c r="L345" s="4"/>
      <c r="M345" s="4"/>
      <c r="N345" s="4"/>
      <c r="O345" s="4"/>
      <c r="P345" s="4"/>
      <c r="Q345" s="4"/>
      <c r="R345" s="4"/>
      <c r="S345" s="4"/>
      <c r="T345" s="4"/>
      <c r="U345" s="4"/>
    </row>
    <row r="346" spans="1:21" ht="15.75" thickBot="1" x14ac:dyDescent="0.3">
      <c r="A346" s="8" t="s">
        <v>359</v>
      </c>
      <c r="B346" s="5">
        <v>226</v>
      </c>
      <c r="C346" s="14" t="s">
        <v>1153</v>
      </c>
      <c r="D346" s="5" t="s">
        <v>10</v>
      </c>
      <c r="E346" s="5" t="s">
        <v>11</v>
      </c>
      <c r="F346" s="5" t="s">
        <v>12</v>
      </c>
      <c r="G346" s="5">
        <v>103</v>
      </c>
      <c r="H346" s="5" t="s">
        <v>13</v>
      </c>
      <c r="I346" s="10" t="s">
        <v>360</v>
      </c>
      <c r="J346" s="4"/>
      <c r="K346" s="12">
        <f t="shared" ref="K346:K409" si="512">(C347-C346)*1000</f>
        <v>80.018000000000029</v>
      </c>
      <c r="L346" s="4"/>
      <c r="M346" s="12">
        <f t="shared" ref="M346:M409" si="513">K346-$L$2</f>
        <v>-33.596426499999978</v>
      </c>
      <c r="N346" s="12">
        <f t="shared" ref="N346" si="514">M346^2</f>
        <v>1128.7198735699008</v>
      </c>
      <c r="O346" s="4"/>
      <c r="P346" s="4"/>
      <c r="Q346" s="4"/>
      <c r="R346" s="4"/>
      <c r="S346" s="4"/>
      <c r="T346" s="4"/>
      <c r="U346" s="4"/>
    </row>
    <row r="347" spans="1:21" ht="15.75" thickBot="1" x14ac:dyDescent="0.3">
      <c r="A347" s="9"/>
      <c r="B347" s="6">
        <v>252</v>
      </c>
      <c r="C347" s="13" t="s">
        <v>1154</v>
      </c>
      <c r="D347" s="6" t="s">
        <v>10</v>
      </c>
      <c r="E347" s="6" t="s">
        <v>11</v>
      </c>
      <c r="F347" s="6" t="s">
        <v>15</v>
      </c>
      <c r="G347" s="6">
        <v>132</v>
      </c>
      <c r="H347" s="6" t="s">
        <v>16</v>
      </c>
      <c r="I347" s="11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</row>
    <row r="348" spans="1:21" ht="15.75" thickBot="1" x14ac:dyDescent="0.3">
      <c r="A348" s="8" t="s">
        <v>361</v>
      </c>
      <c r="B348" s="5">
        <v>180</v>
      </c>
      <c r="C348" s="14" t="s">
        <v>1155</v>
      </c>
      <c r="D348" s="5" t="s">
        <v>10</v>
      </c>
      <c r="E348" s="5" t="s">
        <v>11</v>
      </c>
      <c r="F348" s="5" t="s">
        <v>12</v>
      </c>
      <c r="G348" s="5">
        <v>103</v>
      </c>
      <c r="H348" s="5" t="s">
        <v>13</v>
      </c>
      <c r="I348" s="10" t="s">
        <v>362</v>
      </c>
      <c r="J348" s="4"/>
      <c r="K348" s="12">
        <f t="shared" ref="K348:K411" si="515">(C349-C348)*1000</f>
        <v>92.085999999999999</v>
      </c>
      <c r="L348" s="4"/>
      <c r="M348" s="12">
        <f t="shared" ref="M348:M411" si="516">K348-$L$2</f>
        <v>-21.528426500000009</v>
      </c>
      <c r="N348" s="12">
        <f t="shared" ref="N348" si="517">M348^2</f>
        <v>463.47314756590265</v>
      </c>
      <c r="O348" s="4"/>
      <c r="P348" s="4"/>
      <c r="Q348" s="4"/>
      <c r="R348" s="4"/>
      <c r="S348" s="4"/>
      <c r="T348" s="4"/>
      <c r="U348" s="4"/>
    </row>
    <row r="349" spans="1:21" ht="15.75" thickBot="1" x14ac:dyDescent="0.3">
      <c r="A349" s="9"/>
      <c r="B349" s="6">
        <v>207</v>
      </c>
      <c r="C349" s="13" t="s">
        <v>1156</v>
      </c>
      <c r="D349" s="6" t="s">
        <v>10</v>
      </c>
      <c r="E349" s="6" t="s">
        <v>11</v>
      </c>
      <c r="F349" s="6" t="s">
        <v>15</v>
      </c>
      <c r="G349" s="6">
        <v>132</v>
      </c>
      <c r="H349" s="6" t="s">
        <v>16</v>
      </c>
      <c r="I349" s="11"/>
      <c r="J349" s="4"/>
      <c r="K349" s="12"/>
      <c r="L349" s="4"/>
      <c r="M349" s="4"/>
      <c r="N349" s="4"/>
      <c r="O349" s="4"/>
      <c r="P349" s="4"/>
      <c r="Q349" s="4"/>
      <c r="R349" s="4"/>
      <c r="S349" s="4"/>
      <c r="T349" s="4"/>
      <c r="U349" s="4"/>
    </row>
    <row r="350" spans="1:21" ht="15.75" thickBot="1" x14ac:dyDescent="0.3">
      <c r="A350" s="8" t="s">
        <v>363</v>
      </c>
      <c r="B350" s="5">
        <v>193</v>
      </c>
      <c r="C350" s="14" t="s">
        <v>1157</v>
      </c>
      <c r="D350" s="5" t="s">
        <v>10</v>
      </c>
      <c r="E350" s="5" t="s">
        <v>11</v>
      </c>
      <c r="F350" s="5" t="s">
        <v>12</v>
      </c>
      <c r="G350" s="5">
        <v>103</v>
      </c>
      <c r="H350" s="5" t="s">
        <v>13</v>
      </c>
      <c r="I350" s="10" t="s">
        <v>364</v>
      </c>
      <c r="J350" s="4"/>
      <c r="K350" s="12">
        <f t="shared" ref="K350:K413" si="518">(C351-C350)*1000</f>
        <v>76.32740000000004</v>
      </c>
      <c r="L350" s="4"/>
      <c r="M350" s="12">
        <f t="shared" ref="M350:M413" si="519">K350-$L$2</f>
        <v>-37.287026499999968</v>
      </c>
      <c r="N350" s="12">
        <f t="shared" ref="N350" si="520">M350^2</f>
        <v>1390.3223452116999</v>
      </c>
      <c r="O350" s="4"/>
      <c r="P350" s="4"/>
      <c r="Q350" s="4"/>
      <c r="R350" s="4"/>
      <c r="S350" s="4"/>
      <c r="T350" s="4"/>
      <c r="U350" s="4"/>
    </row>
    <row r="351" spans="1:21" ht="15.75" thickBot="1" x14ac:dyDescent="0.3">
      <c r="A351" s="9"/>
      <c r="B351" s="6">
        <v>215</v>
      </c>
      <c r="C351" s="13" t="s">
        <v>1158</v>
      </c>
      <c r="D351" s="6" t="s">
        <v>10</v>
      </c>
      <c r="E351" s="6" t="s">
        <v>11</v>
      </c>
      <c r="F351" s="6" t="s">
        <v>15</v>
      </c>
      <c r="G351" s="6">
        <v>132</v>
      </c>
      <c r="H351" s="6" t="s">
        <v>16</v>
      </c>
      <c r="I351" s="11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</row>
    <row r="352" spans="1:21" ht="15.75" thickBot="1" x14ac:dyDescent="0.3">
      <c r="A352" s="8" t="s">
        <v>365</v>
      </c>
      <c r="B352" s="5">
        <v>209</v>
      </c>
      <c r="C352" s="14" t="s">
        <v>1159</v>
      </c>
      <c r="D352" s="5" t="s">
        <v>10</v>
      </c>
      <c r="E352" s="5" t="s">
        <v>11</v>
      </c>
      <c r="F352" s="5" t="s">
        <v>12</v>
      </c>
      <c r="G352" s="5">
        <v>103</v>
      </c>
      <c r="H352" s="5" t="s">
        <v>13</v>
      </c>
      <c r="I352" s="10" t="s">
        <v>366</v>
      </c>
      <c r="J352" s="4"/>
      <c r="K352" s="12">
        <f t="shared" ref="K352:K415" si="521">(C353-C352)*1000</f>
        <v>69.478499999999997</v>
      </c>
      <c r="L352" s="4"/>
      <c r="M352" s="12">
        <f t="shared" ref="M352:M415" si="522">K352-$L$2</f>
        <v>-44.135926500000011</v>
      </c>
      <c r="N352" s="12">
        <f t="shared" ref="N352" si="523">M352^2</f>
        <v>1947.9800080134032</v>
      </c>
      <c r="O352" s="4"/>
      <c r="P352" s="4"/>
      <c r="Q352" s="4"/>
      <c r="R352" s="4"/>
      <c r="S352" s="4"/>
      <c r="T352" s="4"/>
      <c r="U352" s="4"/>
    </row>
    <row r="353" spans="1:21" ht="15.75" thickBot="1" x14ac:dyDescent="0.3">
      <c r="A353" s="9"/>
      <c r="B353" s="6">
        <v>232</v>
      </c>
      <c r="C353" s="13" t="s">
        <v>1160</v>
      </c>
      <c r="D353" s="6" t="s">
        <v>10</v>
      </c>
      <c r="E353" s="6" t="s">
        <v>11</v>
      </c>
      <c r="F353" s="6" t="s">
        <v>15</v>
      </c>
      <c r="G353" s="6">
        <v>132</v>
      </c>
      <c r="H353" s="6" t="s">
        <v>16</v>
      </c>
      <c r="I353" s="11"/>
      <c r="J353" s="4"/>
      <c r="K353" s="12"/>
      <c r="L353" s="4"/>
      <c r="M353" s="4"/>
      <c r="N353" s="4"/>
      <c r="O353" s="4"/>
      <c r="P353" s="4"/>
      <c r="Q353" s="4"/>
      <c r="R353" s="4"/>
      <c r="S353" s="4"/>
      <c r="T353" s="4"/>
      <c r="U353" s="4"/>
    </row>
    <row r="354" spans="1:21" ht="15.75" thickBot="1" x14ac:dyDescent="0.3">
      <c r="A354" s="8" t="s">
        <v>367</v>
      </c>
      <c r="B354" s="5">
        <v>151</v>
      </c>
      <c r="C354" s="14" t="s">
        <v>1161</v>
      </c>
      <c r="D354" s="5" t="s">
        <v>10</v>
      </c>
      <c r="E354" s="5" t="s">
        <v>11</v>
      </c>
      <c r="F354" s="5" t="s">
        <v>12</v>
      </c>
      <c r="G354" s="5">
        <v>103</v>
      </c>
      <c r="H354" s="5" t="s">
        <v>13</v>
      </c>
      <c r="I354" s="10" t="s">
        <v>368</v>
      </c>
      <c r="J354" s="4"/>
      <c r="K354" s="12">
        <f t="shared" ref="K354:K417" si="524">(C355-C354)*1000</f>
        <v>124.61119999999993</v>
      </c>
      <c r="L354" s="4"/>
      <c r="M354" s="12">
        <f t="shared" ref="M354:M417" si="525">K354-$L$2</f>
        <v>10.996773499999918</v>
      </c>
      <c r="N354" s="12">
        <f t="shared" ref="N354" si="526">M354^2</f>
        <v>120.92902741030045</v>
      </c>
      <c r="O354" s="4"/>
      <c r="P354" s="4"/>
      <c r="Q354" s="4"/>
      <c r="R354" s="4"/>
      <c r="S354" s="4"/>
      <c r="T354" s="4"/>
      <c r="U354" s="4"/>
    </row>
    <row r="355" spans="1:21" ht="15.75" thickBot="1" x14ac:dyDescent="0.3">
      <c r="A355" s="9"/>
      <c r="B355" s="6">
        <v>180</v>
      </c>
      <c r="C355" s="13" t="s">
        <v>1162</v>
      </c>
      <c r="D355" s="6" t="s">
        <v>10</v>
      </c>
      <c r="E355" s="6" t="s">
        <v>11</v>
      </c>
      <c r="F355" s="6" t="s">
        <v>15</v>
      </c>
      <c r="G355" s="6">
        <v>132</v>
      </c>
      <c r="H355" s="6" t="s">
        <v>16</v>
      </c>
      <c r="I355" s="11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</row>
    <row r="356" spans="1:21" ht="15.75" thickBot="1" x14ac:dyDescent="0.3">
      <c r="A356" s="8" t="s">
        <v>369</v>
      </c>
      <c r="B356" s="5">
        <v>202</v>
      </c>
      <c r="C356" s="14" t="s">
        <v>1163</v>
      </c>
      <c r="D356" s="5" t="s">
        <v>10</v>
      </c>
      <c r="E356" s="5" t="s">
        <v>11</v>
      </c>
      <c r="F356" s="5" t="s">
        <v>12</v>
      </c>
      <c r="G356" s="5">
        <v>103</v>
      </c>
      <c r="H356" s="5" t="s">
        <v>13</v>
      </c>
      <c r="I356" s="10" t="s">
        <v>370</v>
      </c>
      <c r="J356" s="4"/>
      <c r="K356" s="12">
        <f t="shared" ref="K356:K419" si="527">(C357-C356)*1000</f>
        <v>143.70530000000002</v>
      </c>
      <c r="L356" s="4"/>
      <c r="M356" s="12">
        <f t="shared" ref="M356:M419" si="528">K356-$L$2</f>
        <v>30.090873500000015</v>
      </c>
      <c r="N356" s="12">
        <f t="shared" ref="N356" si="529">M356^2</f>
        <v>905.4606679930032</v>
      </c>
      <c r="O356" s="4"/>
      <c r="P356" s="4"/>
      <c r="Q356" s="4"/>
      <c r="R356" s="4"/>
      <c r="S356" s="4"/>
      <c r="T356" s="4"/>
      <c r="U356" s="4"/>
    </row>
    <row r="357" spans="1:21" ht="15.75" thickBot="1" x14ac:dyDescent="0.3">
      <c r="A357" s="9"/>
      <c r="B357" s="6">
        <v>243</v>
      </c>
      <c r="C357" s="13" t="s">
        <v>1164</v>
      </c>
      <c r="D357" s="6" t="s">
        <v>10</v>
      </c>
      <c r="E357" s="6" t="s">
        <v>11</v>
      </c>
      <c r="F357" s="6" t="s">
        <v>15</v>
      </c>
      <c r="G357" s="6">
        <v>132</v>
      </c>
      <c r="H357" s="6" t="s">
        <v>16</v>
      </c>
      <c r="I357" s="11"/>
      <c r="J357" s="4"/>
      <c r="K357" s="12"/>
      <c r="L357" s="4"/>
      <c r="M357" s="4"/>
      <c r="N357" s="4"/>
      <c r="O357" s="4"/>
      <c r="P357" s="4"/>
      <c r="Q357" s="4"/>
      <c r="R357" s="4"/>
      <c r="S357" s="4"/>
      <c r="T357" s="4"/>
      <c r="U357" s="4"/>
    </row>
    <row r="358" spans="1:21" ht="15.75" thickBot="1" x14ac:dyDescent="0.3">
      <c r="A358" s="8" t="s">
        <v>371</v>
      </c>
      <c r="B358" s="5">
        <v>186</v>
      </c>
      <c r="C358" s="14" t="s">
        <v>1165</v>
      </c>
      <c r="D358" s="5" t="s">
        <v>10</v>
      </c>
      <c r="E358" s="5" t="s">
        <v>11</v>
      </c>
      <c r="F358" s="5" t="s">
        <v>12</v>
      </c>
      <c r="G358" s="5">
        <v>103</v>
      </c>
      <c r="H358" s="5" t="s">
        <v>13</v>
      </c>
      <c r="I358" s="10" t="s">
        <v>372</v>
      </c>
      <c r="J358" s="4"/>
      <c r="K358" s="12">
        <f t="shared" ref="K358:K421" si="530">(C359-C358)*1000</f>
        <v>152.53369999999998</v>
      </c>
      <c r="L358" s="4"/>
      <c r="M358" s="12">
        <f t="shared" ref="M358:M421" si="531">K358-$L$2</f>
        <v>38.919273499999974</v>
      </c>
      <c r="N358" s="12">
        <f t="shared" ref="N358" si="532">M358^2</f>
        <v>1514.7098497678003</v>
      </c>
      <c r="O358" s="4"/>
      <c r="P358" s="4"/>
      <c r="Q358" s="4"/>
      <c r="R358" s="4"/>
      <c r="S358" s="4"/>
      <c r="T358" s="4"/>
      <c r="U358" s="4"/>
    </row>
    <row r="359" spans="1:21" ht="15.75" thickBot="1" x14ac:dyDescent="0.3">
      <c r="A359" s="9"/>
      <c r="B359" s="6">
        <v>227</v>
      </c>
      <c r="C359" s="13" t="s">
        <v>1166</v>
      </c>
      <c r="D359" s="6" t="s">
        <v>10</v>
      </c>
      <c r="E359" s="6" t="s">
        <v>11</v>
      </c>
      <c r="F359" s="6" t="s">
        <v>15</v>
      </c>
      <c r="G359" s="6">
        <v>132</v>
      </c>
      <c r="H359" s="6" t="s">
        <v>16</v>
      </c>
      <c r="I359" s="11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</row>
    <row r="360" spans="1:21" ht="15.75" thickBot="1" x14ac:dyDescent="0.3">
      <c r="A360" s="8" t="s">
        <v>373</v>
      </c>
      <c r="B360" s="5">
        <v>240</v>
      </c>
      <c r="C360" s="14" t="s">
        <v>1167</v>
      </c>
      <c r="D360" s="5" t="s">
        <v>10</v>
      </c>
      <c r="E360" s="5" t="s">
        <v>11</v>
      </c>
      <c r="F360" s="5" t="s">
        <v>12</v>
      </c>
      <c r="G360" s="5">
        <v>103</v>
      </c>
      <c r="H360" s="5" t="s">
        <v>13</v>
      </c>
      <c r="I360" s="10" t="s">
        <v>374</v>
      </c>
      <c r="J360" s="4"/>
      <c r="K360" s="12">
        <f t="shared" ref="K360:K423" si="533">(C361-C360)*1000</f>
        <v>157.1036</v>
      </c>
      <c r="L360" s="4"/>
      <c r="M360" s="12">
        <f t="shared" ref="M360:M423" si="534">K360-$L$2</f>
        <v>43.489173499999993</v>
      </c>
      <c r="N360" s="12">
        <f t="shared" ref="N360" si="535">M360^2</f>
        <v>1891.3082117131016</v>
      </c>
      <c r="O360" s="4"/>
      <c r="P360" s="4"/>
      <c r="Q360" s="4"/>
      <c r="R360" s="4"/>
      <c r="S360" s="4"/>
      <c r="T360" s="4"/>
      <c r="U360" s="4"/>
    </row>
    <row r="361" spans="1:21" ht="15.75" thickBot="1" x14ac:dyDescent="0.3">
      <c r="A361" s="9"/>
      <c r="B361" s="6">
        <v>279</v>
      </c>
      <c r="C361" s="13" t="s">
        <v>1168</v>
      </c>
      <c r="D361" s="6" t="s">
        <v>10</v>
      </c>
      <c r="E361" s="6" t="s">
        <v>11</v>
      </c>
      <c r="F361" s="6" t="s">
        <v>15</v>
      </c>
      <c r="G361" s="6">
        <v>132</v>
      </c>
      <c r="H361" s="6" t="s">
        <v>16</v>
      </c>
      <c r="I361" s="11"/>
      <c r="J361" s="4"/>
      <c r="K361" s="12"/>
      <c r="L361" s="4"/>
      <c r="M361" s="4"/>
      <c r="N361" s="4"/>
      <c r="O361" s="4"/>
      <c r="P361" s="4"/>
      <c r="Q361" s="4"/>
      <c r="R361" s="4"/>
      <c r="S361" s="4"/>
      <c r="T361" s="4"/>
      <c r="U361" s="4"/>
    </row>
    <row r="362" spans="1:21" ht="15.75" thickBot="1" x14ac:dyDescent="0.3">
      <c r="A362" s="8" t="s">
        <v>375</v>
      </c>
      <c r="B362" s="5">
        <v>169</v>
      </c>
      <c r="C362" s="14" t="s">
        <v>1169</v>
      </c>
      <c r="D362" s="5" t="s">
        <v>10</v>
      </c>
      <c r="E362" s="5" t="s">
        <v>11</v>
      </c>
      <c r="F362" s="5" t="s">
        <v>12</v>
      </c>
      <c r="G362" s="5">
        <v>103</v>
      </c>
      <c r="H362" s="5" t="s">
        <v>13</v>
      </c>
      <c r="I362" s="10" t="s">
        <v>376</v>
      </c>
      <c r="J362" s="4"/>
      <c r="K362" s="12">
        <f t="shared" ref="K362:K425" si="536">(C363-C362)*1000</f>
        <v>128.22020000000001</v>
      </c>
      <c r="L362" s="4"/>
      <c r="M362" s="12">
        <f t="shared" ref="M362:M425" si="537">K362-$L$2</f>
        <v>14.605773499999998</v>
      </c>
      <c r="N362" s="12">
        <f t="shared" ref="N362" si="538">M362^2</f>
        <v>213.3286195333022</v>
      </c>
      <c r="O362" s="4"/>
      <c r="P362" s="4"/>
      <c r="Q362" s="4"/>
      <c r="R362" s="4"/>
      <c r="S362" s="4"/>
      <c r="T362" s="4"/>
      <c r="U362" s="4"/>
    </row>
    <row r="363" spans="1:21" ht="15.75" thickBot="1" x14ac:dyDescent="0.3">
      <c r="A363" s="9"/>
      <c r="B363" s="6">
        <v>200</v>
      </c>
      <c r="C363" s="13" t="s">
        <v>1170</v>
      </c>
      <c r="D363" s="6" t="s">
        <v>10</v>
      </c>
      <c r="E363" s="6" t="s">
        <v>11</v>
      </c>
      <c r="F363" s="6" t="s">
        <v>15</v>
      </c>
      <c r="G363" s="6">
        <v>132</v>
      </c>
      <c r="H363" s="6" t="s">
        <v>16</v>
      </c>
      <c r="I363" s="11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</row>
    <row r="364" spans="1:21" ht="15.75" thickBot="1" x14ac:dyDescent="0.3">
      <c r="A364" s="8" t="s">
        <v>377</v>
      </c>
      <c r="B364" s="5">
        <v>189</v>
      </c>
      <c r="C364" s="14" t="s">
        <v>1171</v>
      </c>
      <c r="D364" s="5" t="s">
        <v>10</v>
      </c>
      <c r="E364" s="5" t="s">
        <v>11</v>
      </c>
      <c r="F364" s="5" t="s">
        <v>12</v>
      </c>
      <c r="G364" s="5">
        <v>103</v>
      </c>
      <c r="H364" s="5" t="s">
        <v>13</v>
      </c>
      <c r="I364" s="10" t="s">
        <v>148</v>
      </c>
      <c r="J364" s="4"/>
      <c r="K364" s="12">
        <f t="shared" ref="K364:K427" si="539">(C365-C364)*1000</f>
        <v>114.87179999999996</v>
      </c>
      <c r="L364" s="4"/>
      <c r="M364" s="12">
        <f t="shared" ref="M364:M427" si="540">K364-$L$2</f>
        <v>1.2573734999999573</v>
      </c>
      <c r="N364" s="12">
        <f t="shared" ref="N364" si="541">M364^2</f>
        <v>1.5809881185021426</v>
      </c>
      <c r="O364" s="4"/>
      <c r="P364" s="4"/>
      <c r="Q364" s="4"/>
      <c r="R364" s="4"/>
      <c r="S364" s="4"/>
      <c r="T364" s="4"/>
      <c r="U364" s="4"/>
    </row>
    <row r="365" spans="1:21" ht="15.75" thickBot="1" x14ac:dyDescent="0.3">
      <c r="A365" s="9"/>
      <c r="B365" s="6">
        <v>216</v>
      </c>
      <c r="C365" s="13" t="s">
        <v>1172</v>
      </c>
      <c r="D365" s="6" t="s">
        <v>10</v>
      </c>
      <c r="E365" s="6" t="s">
        <v>11</v>
      </c>
      <c r="F365" s="6" t="s">
        <v>15</v>
      </c>
      <c r="G365" s="6">
        <v>132</v>
      </c>
      <c r="H365" s="6" t="s">
        <v>16</v>
      </c>
      <c r="I365" s="11"/>
      <c r="J365" s="4"/>
      <c r="K365" s="12"/>
      <c r="L365" s="4"/>
      <c r="M365" s="4"/>
      <c r="N365" s="4"/>
      <c r="O365" s="4"/>
      <c r="P365" s="4"/>
      <c r="Q365" s="4"/>
      <c r="R365" s="4"/>
      <c r="S365" s="4"/>
      <c r="T365" s="4"/>
      <c r="U365" s="4"/>
    </row>
    <row r="366" spans="1:21" ht="15.75" thickBot="1" x14ac:dyDescent="0.3">
      <c r="A366" s="8" t="s">
        <v>378</v>
      </c>
      <c r="B366" s="5">
        <v>197</v>
      </c>
      <c r="C366" s="14" t="s">
        <v>1173</v>
      </c>
      <c r="D366" s="5" t="s">
        <v>10</v>
      </c>
      <c r="E366" s="5" t="s">
        <v>11</v>
      </c>
      <c r="F366" s="5" t="s">
        <v>12</v>
      </c>
      <c r="G366" s="5">
        <v>103</v>
      </c>
      <c r="H366" s="5" t="s">
        <v>13</v>
      </c>
      <c r="I366" s="10" t="s">
        <v>379</v>
      </c>
      <c r="J366" s="4"/>
      <c r="K366" s="12">
        <f t="shared" ref="K366:K429" si="542">(C367-C366)*1000</f>
        <v>45.739299999999929</v>
      </c>
      <c r="L366" s="4"/>
      <c r="M366" s="12">
        <f t="shared" ref="M366:M429" si="543">K366-$L$2</f>
        <v>-67.875126500000079</v>
      </c>
      <c r="N366" s="12">
        <f t="shared" ref="N366" si="544">M366^2</f>
        <v>4607.0327973910125</v>
      </c>
      <c r="O366" s="4"/>
      <c r="P366" s="4"/>
      <c r="Q366" s="4"/>
      <c r="R366" s="4"/>
      <c r="S366" s="4"/>
      <c r="T366" s="4"/>
      <c r="U366" s="4"/>
    </row>
    <row r="367" spans="1:21" ht="15.75" thickBot="1" x14ac:dyDescent="0.3">
      <c r="A367" s="9"/>
      <c r="B367" s="6">
        <v>213</v>
      </c>
      <c r="C367" s="13" t="s">
        <v>1174</v>
      </c>
      <c r="D367" s="6" t="s">
        <v>10</v>
      </c>
      <c r="E367" s="6" t="s">
        <v>11</v>
      </c>
      <c r="F367" s="6" t="s">
        <v>15</v>
      </c>
      <c r="G367" s="6">
        <v>132</v>
      </c>
      <c r="H367" s="6" t="s">
        <v>16</v>
      </c>
      <c r="I367" s="11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</row>
    <row r="368" spans="1:21" ht="15.75" thickBot="1" x14ac:dyDescent="0.3">
      <c r="A368" s="8" t="s">
        <v>380</v>
      </c>
      <c r="B368" s="5">
        <v>432</v>
      </c>
      <c r="C368" s="14" t="s">
        <v>1175</v>
      </c>
      <c r="D368" s="5" t="s">
        <v>10</v>
      </c>
      <c r="E368" s="5" t="s">
        <v>11</v>
      </c>
      <c r="F368" s="5" t="s">
        <v>12</v>
      </c>
      <c r="G368" s="5">
        <v>103</v>
      </c>
      <c r="H368" s="5" t="s">
        <v>13</v>
      </c>
      <c r="I368" s="10" t="s">
        <v>381</v>
      </c>
      <c r="J368" s="4"/>
      <c r="K368" s="12">
        <f t="shared" ref="K368:K431" si="545">(C369-C368)*1000</f>
        <v>118.57570000000007</v>
      </c>
      <c r="L368" s="4"/>
      <c r="M368" s="12">
        <f t="shared" ref="M368:M431" si="546">K368-$L$2</f>
        <v>4.9612735000000612</v>
      </c>
      <c r="N368" s="12">
        <f t="shared" ref="N368" si="547">M368^2</f>
        <v>24.614234741802857</v>
      </c>
      <c r="O368" s="4"/>
      <c r="P368" s="4"/>
      <c r="Q368" s="4"/>
      <c r="R368" s="4"/>
      <c r="S368" s="4"/>
      <c r="T368" s="4"/>
      <c r="U368" s="4"/>
    </row>
    <row r="369" spans="1:21" ht="15.75" thickBot="1" x14ac:dyDescent="0.3">
      <c r="A369" s="9"/>
      <c r="B369" s="6">
        <v>484</v>
      </c>
      <c r="C369" s="13" t="s">
        <v>1176</v>
      </c>
      <c r="D369" s="6" t="s">
        <v>10</v>
      </c>
      <c r="E369" s="6" t="s">
        <v>11</v>
      </c>
      <c r="F369" s="6" t="s">
        <v>15</v>
      </c>
      <c r="G369" s="6">
        <v>132</v>
      </c>
      <c r="H369" s="6" t="s">
        <v>16</v>
      </c>
      <c r="I369" s="11"/>
      <c r="J369" s="4"/>
      <c r="K369" s="12"/>
      <c r="L369" s="4"/>
      <c r="M369" s="4"/>
      <c r="N369" s="4"/>
      <c r="O369" s="4"/>
      <c r="P369" s="4"/>
      <c r="Q369" s="4"/>
      <c r="R369" s="4"/>
      <c r="S369" s="4"/>
      <c r="T369" s="4"/>
      <c r="U369" s="4"/>
    </row>
    <row r="370" spans="1:21" ht="15.75" thickBot="1" x14ac:dyDescent="0.3">
      <c r="A370" s="8" t="s">
        <v>382</v>
      </c>
      <c r="B370" s="5">
        <v>188</v>
      </c>
      <c r="C370" s="14" t="s">
        <v>1177</v>
      </c>
      <c r="D370" s="5" t="s">
        <v>10</v>
      </c>
      <c r="E370" s="5" t="s">
        <v>11</v>
      </c>
      <c r="F370" s="5" t="s">
        <v>12</v>
      </c>
      <c r="G370" s="5">
        <v>103</v>
      </c>
      <c r="H370" s="5" t="s">
        <v>13</v>
      </c>
      <c r="I370" s="10" t="s">
        <v>383</v>
      </c>
      <c r="J370" s="4"/>
      <c r="K370" s="12">
        <f t="shared" ref="K370:K433" si="548">(C371-C370)*1000</f>
        <v>50.737699999999997</v>
      </c>
      <c r="L370" s="4"/>
      <c r="M370" s="12">
        <f t="shared" ref="M370:M433" si="549">K370-$L$2</f>
        <v>-62.876726500000011</v>
      </c>
      <c r="N370" s="12">
        <f t="shared" ref="N370" si="550">M370^2</f>
        <v>3953.4827353558035</v>
      </c>
      <c r="O370" s="4"/>
      <c r="P370" s="4"/>
      <c r="Q370" s="4"/>
      <c r="R370" s="4"/>
      <c r="S370" s="4"/>
      <c r="T370" s="4"/>
      <c r="U370" s="4"/>
    </row>
    <row r="371" spans="1:21" ht="15.75" thickBot="1" x14ac:dyDescent="0.3">
      <c r="A371" s="9"/>
      <c r="B371" s="6">
        <v>206</v>
      </c>
      <c r="C371" s="13" t="s">
        <v>1178</v>
      </c>
      <c r="D371" s="6" t="s">
        <v>10</v>
      </c>
      <c r="E371" s="6" t="s">
        <v>11</v>
      </c>
      <c r="F371" s="6" t="s">
        <v>15</v>
      </c>
      <c r="G371" s="6">
        <v>132</v>
      </c>
      <c r="H371" s="6" t="s">
        <v>16</v>
      </c>
      <c r="I371" s="11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</row>
    <row r="372" spans="1:21" ht="15.75" thickBot="1" x14ac:dyDescent="0.3">
      <c r="A372" s="8" t="s">
        <v>384</v>
      </c>
      <c r="B372" s="5">
        <v>233</v>
      </c>
      <c r="C372" s="14" t="s">
        <v>1179</v>
      </c>
      <c r="D372" s="5" t="s">
        <v>10</v>
      </c>
      <c r="E372" s="5" t="s">
        <v>11</v>
      </c>
      <c r="F372" s="5" t="s">
        <v>12</v>
      </c>
      <c r="G372" s="5">
        <v>103</v>
      </c>
      <c r="H372" s="5" t="s">
        <v>13</v>
      </c>
      <c r="I372" s="10" t="s">
        <v>385</v>
      </c>
      <c r="J372" s="4"/>
      <c r="K372" s="12">
        <f t="shared" ref="K372:K435" si="551">(C373-C372)*1000</f>
        <v>36.83079999999994</v>
      </c>
      <c r="L372" s="4"/>
      <c r="M372" s="12">
        <f t="shared" ref="M372:M435" si="552">K372-$L$2</f>
        <v>-76.783626500000068</v>
      </c>
      <c r="N372" s="12">
        <f t="shared" ref="N372" si="553">M372^2</f>
        <v>5895.7252984915131</v>
      </c>
      <c r="O372" s="4"/>
      <c r="P372" s="4"/>
      <c r="Q372" s="4"/>
      <c r="R372" s="4"/>
      <c r="S372" s="4"/>
      <c r="T372" s="4"/>
      <c r="U372" s="4"/>
    </row>
    <row r="373" spans="1:21" ht="15.75" thickBot="1" x14ac:dyDescent="0.3">
      <c r="A373" s="9"/>
      <c r="B373" s="6">
        <v>242</v>
      </c>
      <c r="C373" s="13" t="s">
        <v>1180</v>
      </c>
      <c r="D373" s="6" t="s">
        <v>10</v>
      </c>
      <c r="E373" s="6" t="s">
        <v>11</v>
      </c>
      <c r="F373" s="6" t="s">
        <v>15</v>
      </c>
      <c r="G373" s="6">
        <v>132</v>
      </c>
      <c r="H373" s="6" t="s">
        <v>16</v>
      </c>
      <c r="I373" s="11"/>
      <c r="J373" s="4"/>
      <c r="K373" s="12"/>
      <c r="L373" s="4"/>
      <c r="M373" s="4"/>
      <c r="N373" s="4"/>
      <c r="O373" s="4"/>
      <c r="P373" s="4"/>
      <c r="Q373" s="4"/>
      <c r="R373" s="4"/>
      <c r="S373" s="4"/>
      <c r="T373" s="4"/>
      <c r="U373" s="4"/>
    </row>
    <row r="374" spans="1:21" ht="15.75" thickBot="1" x14ac:dyDescent="0.3">
      <c r="A374" s="8" t="s">
        <v>386</v>
      </c>
      <c r="B374" s="5">
        <v>210</v>
      </c>
      <c r="C374" s="14" t="s">
        <v>1181</v>
      </c>
      <c r="D374" s="5" t="s">
        <v>10</v>
      </c>
      <c r="E374" s="5" t="s">
        <v>11</v>
      </c>
      <c r="F374" s="5" t="s">
        <v>12</v>
      </c>
      <c r="G374" s="5">
        <v>103</v>
      </c>
      <c r="H374" s="5" t="s">
        <v>13</v>
      </c>
      <c r="I374" s="10" t="s">
        <v>387</v>
      </c>
      <c r="J374" s="4"/>
      <c r="K374" s="12">
        <f t="shared" ref="K374:K437" si="554">(C375-C374)*1000</f>
        <v>56.706100000000092</v>
      </c>
      <c r="L374" s="4"/>
      <c r="M374" s="12">
        <f t="shared" ref="M374:M437" si="555">K374-$L$2</f>
        <v>-56.908326499999916</v>
      </c>
      <c r="N374" s="12">
        <f t="shared" ref="N374" si="556">M374^2</f>
        <v>3238.5576250305926</v>
      </c>
      <c r="O374" s="4"/>
      <c r="P374" s="4"/>
      <c r="Q374" s="4"/>
      <c r="R374" s="4"/>
      <c r="S374" s="4"/>
      <c r="T374" s="4"/>
      <c r="U374" s="4"/>
    </row>
    <row r="375" spans="1:21" ht="15.75" thickBot="1" x14ac:dyDescent="0.3">
      <c r="A375" s="9"/>
      <c r="B375" s="6">
        <v>229</v>
      </c>
      <c r="C375" s="13" t="s">
        <v>1193</v>
      </c>
      <c r="D375" s="6" t="s">
        <v>10</v>
      </c>
      <c r="E375" s="6" t="s">
        <v>11</v>
      </c>
      <c r="F375" s="6" t="s">
        <v>15</v>
      </c>
      <c r="G375" s="6">
        <v>132</v>
      </c>
      <c r="H375" s="6" t="s">
        <v>16</v>
      </c>
      <c r="I375" s="11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</row>
    <row r="376" spans="1:21" ht="15.75" thickBot="1" x14ac:dyDescent="0.3">
      <c r="A376" s="8" t="s">
        <v>388</v>
      </c>
      <c r="B376" s="5">
        <v>214</v>
      </c>
      <c r="C376" s="14" t="s">
        <v>1182</v>
      </c>
      <c r="D376" s="5" t="s">
        <v>10</v>
      </c>
      <c r="E376" s="5" t="s">
        <v>11</v>
      </c>
      <c r="F376" s="5" t="s">
        <v>12</v>
      </c>
      <c r="G376" s="5">
        <v>103</v>
      </c>
      <c r="H376" s="5" t="s">
        <v>13</v>
      </c>
      <c r="I376" s="10" t="s">
        <v>389</v>
      </c>
      <c r="J376" s="4"/>
      <c r="K376" s="12">
        <f t="shared" ref="K376:K439" si="557">(C377-C376)*1000</f>
        <v>132.3862</v>
      </c>
      <c r="L376" s="4"/>
      <c r="M376" s="12">
        <f t="shared" ref="M376:M439" si="558">K376-$L$2</f>
        <v>18.771773499999995</v>
      </c>
      <c r="N376" s="12">
        <f t="shared" ref="N376" si="559">M376^2</f>
        <v>352.37948033530205</v>
      </c>
      <c r="O376" s="4"/>
      <c r="P376" s="4"/>
      <c r="Q376" s="4"/>
      <c r="R376" s="4"/>
      <c r="S376" s="4"/>
      <c r="T376" s="4"/>
      <c r="U376" s="4"/>
    </row>
    <row r="377" spans="1:21" ht="15.75" thickBot="1" x14ac:dyDescent="0.3">
      <c r="A377" s="9"/>
      <c r="B377" s="6">
        <v>244</v>
      </c>
      <c r="C377" s="13" t="s">
        <v>1183</v>
      </c>
      <c r="D377" s="6" t="s">
        <v>10</v>
      </c>
      <c r="E377" s="6" t="s">
        <v>11</v>
      </c>
      <c r="F377" s="6" t="s">
        <v>15</v>
      </c>
      <c r="G377" s="6">
        <v>132</v>
      </c>
      <c r="H377" s="6" t="s">
        <v>16</v>
      </c>
      <c r="I377" s="11"/>
      <c r="J377" s="4"/>
      <c r="K377" s="12"/>
      <c r="L377" s="4"/>
      <c r="M377" s="4"/>
      <c r="N377" s="4"/>
      <c r="O377" s="4"/>
      <c r="P377" s="4"/>
      <c r="Q377" s="4"/>
      <c r="R377" s="4"/>
      <c r="S377" s="4"/>
      <c r="T377" s="4"/>
      <c r="U377" s="4"/>
    </row>
    <row r="378" spans="1:21" ht="15.75" thickBot="1" x14ac:dyDescent="0.3">
      <c r="A378" s="8" t="s">
        <v>390</v>
      </c>
      <c r="B378" s="5">
        <v>226</v>
      </c>
      <c r="C378" s="14" t="s">
        <v>1184</v>
      </c>
      <c r="D378" s="5" t="s">
        <v>10</v>
      </c>
      <c r="E378" s="5" t="s">
        <v>11</v>
      </c>
      <c r="F378" s="5" t="s">
        <v>12</v>
      </c>
      <c r="G378" s="5">
        <v>103</v>
      </c>
      <c r="H378" s="5" t="s">
        <v>13</v>
      </c>
      <c r="I378" s="10" t="s">
        <v>391</v>
      </c>
      <c r="J378" s="4"/>
      <c r="K378" s="12">
        <f t="shared" ref="K378:K441" si="560">(C379-C378)*1000</f>
        <v>112.60590000000003</v>
      </c>
      <c r="L378" s="4"/>
      <c r="M378" s="12">
        <f t="shared" ref="M378:M441" si="561">K378-$L$2</f>
        <v>-1.0085264999999737</v>
      </c>
      <c r="N378" s="12">
        <f t="shared" ref="N378" si="562">M378^2</f>
        <v>1.0171257012021968</v>
      </c>
      <c r="O378" s="4"/>
      <c r="P378" s="4"/>
      <c r="Q378" s="4"/>
      <c r="R378" s="4"/>
      <c r="S378" s="4"/>
      <c r="T378" s="4"/>
      <c r="U378" s="4"/>
    </row>
    <row r="379" spans="1:21" ht="15.75" thickBot="1" x14ac:dyDescent="0.3">
      <c r="A379" s="9"/>
      <c r="B379" s="6">
        <v>255</v>
      </c>
      <c r="C379" s="13" t="s">
        <v>1185</v>
      </c>
      <c r="D379" s="6" t="s">
        <v>10</v>
      </c>
      <c r="E379" s="6" t="s">
        <v>11</v>
      </c>
      <c r="F379" s="6" t="s">
        <v>15</v>
      </c>
      <c r="G379" s="6">
        <v>132</v>
      </c>
      <c r="H379" s="6" t="s">
        <v>16</v>
      </c>
      <c r="I379" s="11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</row>
    <row r="380" spans="1:21" ht="15.75" thickBot="1" x14ac:dyDescent="0.3">
      <c r="A380" s="8" t="s">
        <v>392</v>
      </c>
      <c r="B380" s="5">
        <v>191</v>
      </c>
      <c r="C380" s="14" t="s">
        <v>1186</v>
      </c>
      <c r="D380" s="5" t="s">
        <v>10</v>
      </c>
      <c r="E380" s="5" t="s">
        <v>11</v>
      </c>
      <c r="F380" s="5" t="s">
        <v>12</v>
      </c>
      <c r="G380" s="5">
        <v>103</v>
      </c>
      <c r="H380" s="5" t="s">
        <v>13</v>
      </c>
      <c r="I380" s="10" t="s">
        <v>393</v>
      </c>
      <c r="J380" s="4"/>
      <c r="K380" s="12">
        <f t="shared" ref="K380:K443" si="563">(C381-C380)*1000</f>
        <v>154.41419999999994</v>
      </c>
      <c r="L380" s="4"/>
      <c r="M380" s="12">
        <f t="shared" ref="M380:M443" si="564">K380-$L$2</f>
        <v>40.79977349999993</v>
      </c>
      <c r="N380" s="12">
        <f t="shared" ref="N380" si="565">M380^2</f>
        <v>1664.6215176512965</v>
      </c>
      <c r="O380" s="4"/>
      <c r="P380" s="4"/>
      <c r="Q380" s="4"/>
      <c r="R380" s="4"/>
      <c r="S380" s="4"/>
      <c r="T380" s="4"/>
      <c r="U380" s="4"/>
    </row>
    <row r="381" spans="1:21" ht="15.75" thickBot="1" x14ac:dyDescent="0.3">
      <c r="A381" s="9"/>
      <c r="B381" s="6">
        <v>232</v>
      </c>
      <c r="C381" s="13" t="s">
        <v>1187</v>
      </c>
      <c r="D381" s="6" t="s">
        <v>10</v>
      </c>
      <c r="E381" s="6" t="s">
        <v>11</v>
      </c>
      <c r="F381" s="6" t="s">
        <v>15</v>
      </c>
      <c r="G381" s="6">
        <v>132</v>
      </c>
      <c r="H381" s="6" t="s">
        <v>16</v>
      </c>
      <c r="I381" s="11"/>
      <c r="J381" s="4"/>
      <c r="K381" s="12"/>
      <c r="L381" s="4"/>
      <c r="M381" s="4"/>
      <c r="N381" s="4"/>
      <c r="O381" s="4"/>
      <c r="P381" s="4"/>
      <c r="Q381" s="4"/>
      <c r="R381" s="4"/>
      <c r="S381" s="4"/>
      <c r="T381" s="4"/>
      <c r="U381" s="4"/>
    </row>
    <row r="382" spans="1:21" ht="15.75" thickBot="1" x14ac:dyDescent="0.3">
      <c r="A382" s="8" t="s">
        <v>394</v>
      </c>
      <c r="B382" s="5">
        <v>196</v>
      </c>
      <c r="C382" s="14" t="s">
        <v>1188</v>
      </c>
      <c r="D382" s="5" t="s">
        <v>10</v>
      </c>
      <c r="E382" s="5" t="s">
        <v>11</v>
      </c>
      <c r="F382" s="5" t="s">
        <v>12</v>
      </c>
      <c r="G382" s="5">
        <v>103</v>
      </c>
      <c r="H382" s="5" t="s">
        <v>13</v>
      </c>
      <c r="I382" s="10" t="s">
        <v>395</v>
      </c>
      <c r="J382" s="4"/>
      <c r="K382" s="12">
        <f t="shared" ref="K382:K445" si="566">(C383-C382)*1000</f>
        <v>86.637999999999991</v>
      </c>
      <c r="L382" s="4"/>
      <c r="M382" s="12">
        <f t="shared" ref="M382:M445" si="567">K382-$L$2</f>
        <v>-26.976426500000017</v>
      </c>
      <c r="N382" s="12">
        <f t="shared" ref="N382" si="568">M382^2</f>
        <v>727.72758670990311</v>
      </c>
      <c r="O382" s="4"/>
      <c r="P382" s="4"/>
      <c r="Q382" s="4"/>
      <c r="R382" s="4"/>
      <c r="S382" s="4"/>
      <c r="T382" s="4"/>
      <c r="U382" s="4"/>
    </row>
    <row r="383" spans="1:21" ht="15.75" thickBot="1" x14ac:dyDescent="0.3">
      <c r="A383" s="9"/>
      <c r="B383" s="6">
        <v>219</v>
      </c>
      <c r="C383" s="13" t="s">
        <v>1189</v>
      </c>
      <c r="D383" s="6" t="s">
        <v>10</v>
      </c>
      <c r="E383" s="6" t="s">
        <v>11</v>
      </c>
      <c r="F383" s="6" t="s">
        <v>15</v>
      </c>
      <c r="G383" s="6">
        <v>132</v>
      </c>
      <c r="H383" s="6" t="s">
        <v>16</v>
      </c>
      <c r="I383" s="11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</row>
    <row r="384" spans="1:21" ht="15.75" thickBot="1" x14ac:dyDescent="0.3">
      <c r="A384" s="8" t="s">
        <v>396</v>
      </c>
      <c r="B384" s="5">
        <v>196</v>
      </c>
      <c r="C384" s="14" t="s">
        <v>1190</v>
      </c>
      <c r="D384" s="5" t="s">
        <v>10</v>
      </c>
      <c r="E384" s="5" t="s">
        <v>11</v>
      </c>
      <c r="F384" s="5" t="s">
        <v>12</v>
      </c>
      <c r="G384" s="5">
        <v>103</v>
      </c>
      <c r="H384" s="5" t="s">
        <v>13</v>
      </c>
      <c r="I384" s="10" t="s">
        <v>397</v>
      </c>
      <c r="J384" s="4"/>
      <c r="K384" s="12">
        <f t="shared" ref="K384:K447" si="569">(C385-C384)*1000</f>
        <v>64.525199999999955</v>
      </c>
      <c r="L384" s="4"/>
      <c r="M384" s="12">
        <f t="shared" ref="M384:M447" si="570">K384-$L$2</f>
        <v>-49.089226500000052</v>
      </c>
      <c r="N384" s="12">
        <f t="shared" ref="N384" si="571">M384^2</f>
        <v>2409.7521583683074</v>
      </c>
      <c r="O384" s="4"/>
      <c r="P384" s="4"/>
      <c r="Q384" s="4"/>
      <c r="R384" s="4"/>
      <c r="S384" s="4"/>
      <c r="T384" s="4"/>
      <c r="U384" s="4"/>
    </row>
    <row r="385" spans="1:21" ht="15.75" thickBot="1" x14ac:dyDescent="0.3">
      <c r="A385" s="9"/>
      <c r="B385" s="6">
        <v>216</v>
      </c>
      <c r="C385" s="13" t="s">
        <v>1192</v>
      </c>
      <c r="D385" s="6" t="s">
        <v>10</v>
      </c>
      <c r="E385" s="6" t="s">
        <v>11</v>
      </c>
      <c r="F385" s="6" t="s">
        <v>15</v>
      </c>
      <c r="G385" s="6">
        <v>132</v>
      </c>
      <c r="H385" s="6" t="s">
        <v>16</v>
      </c>
      <c r="I385" s="11"/>
      <c r="J385" s="4"/>
      <c r="K385" s="12"/>
      <c r="L385" s="4"/>
      <c r="M385" s="4"/>
      <c r="N385" s="4"/>
      <c r="O385" s="4"/>
      <c r="P385" s="4"/>
      <c r="Q385" s="4"/>
      <c r="R385" s="4"/>
      <c r="S385" s="4"/>
      <c r="T385" s="4"/>
      <c r="U385" s="4"/>
    </row>
    <row r="386" spans="1:21" ht="15.75" thickBot="1" x14ac:dyDescent="0.3">
      <c r="A386" s="8" t="s">
        <v>398</v>
      </c>
      <c r="B386" s="5">
        <v>213</v>
      </c>
      <c r="C386" s="14" t="s">
        <v>1191</v>
      </c>
      <c r="D386" s="5" t="s">
        <v>10</v>
      </c>
      <c r="E386" s="5" t="s">
        <v>11</v>
      </c>
      <c r="F386" s="5" t="s">
        <v>12</v>
      </c>
      <c r="G386" s="5">
        <v>103</v>
      </c>
      <c r="H386" s="5" t="s">
        <v>13</v>
      </c>
      <c r="I386" s="10" t="s">
        <v>399</v>
      </c>
      <c r="J386" s="4"/>
      <c r="K386" s="12">
        <f t="shared" ref="K386:K449" si="572">(C387-C386)*1000</f>
        <v>82.752200000000059</v>
      </c>
      <c r="L386" s="4"/>
      <c r="M386" s="12">
        <f t="shared" ref="M386:M449" si="573">K386-$L$2</f>
        <v>-30.862226499999949</v>
      </c>
      <c r="N386" s="12">
        <f t="shared" ref="N386" si="574">M386^2</f>
        <v>952.47702453729903</v>
      </c>
      <c r="O386" s="4"/>
      <c r="P386" s="4"/>
      <c r="Q386" s="4"/>
      <c r="R386" s="4"/>
      <c r="S386" s="4"/>
      <c r="T386" s="4"/>
      <c r="U386" s="4"/>
    </row>
    <row r="387" spans="1:21" ht="15.75" thickBot="1" x14ac:dyDescent="0.3">
      <c r="A387" s="9"/>
      <c r="B387" s="6">
        <v>236</v>
      </c>
      <c r="C387" s="13" t="s">
        <v>1194</v>
      </c>
      <c r="D387" s="6" t="s">
        <v>10</v>
      </c>
      <c r="E387" s="6" t="s">
        <v>11</v>
      </c>
      <c r="F387" s="6" t="s">
        <v>15</v>
      </c>
      <c r="G387" s="6">
        <v>132</v>
      </c>
      <c r="H387" s="6" t="s">
        <v>16</v>
      </c>
      <c r="I387" s="11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</row>
    <row r="388" spans="1:21" ht="15.75" thickBot="1" x14ac:dyDescent="0.3">
      <c r="A388" s="8" t="s">
        <v>400</v>
      </c>
      <c r="B388" s="5">
        <v>202</v>
      </c>
      <c r="C388" s="14" t="s">
        <v>1195</v>
      </c>
      <c r="D388" s="5" t="s">
        <v>10</v>
      </c>
      <c r="E388" s="5" t="s">
        <v>11</v>
      </c>
      <c r="F388" s="5" t="s">
        <v>12</v>
      </c>
      <c r="G388" s="5">
        <v>103</v>
      </c>
      <c r="H388" s="5" t="s">
        <v>13</v>
      </c>
      <c r="I388" s="10" t="s">
        <v>401</v>
      </c>
      <c r="J388" s="4"/>
      <c r="K388" s="12">
        <f t="shared" ref="K388:K451" si="575">(C389-C388)*1000</f>
        <v>159.28390000000013</v>
      </c>
      <c r="L388" s="4"/>
      <c r="M388" s="12">
        <f t="shared" ref="M388:M451" si="576">K388-$L$2</f>
        <v>45.669473500000123</v>
      </c>
      <c r="N388" s="12">
        <f t="shared" ref="N388" si="577">M388^2</f>
        <v>2085.7008097672133</v>
      </c>
      <c r="O388" s="4"/>
      <c r="P388" s="4"/>
      <c r="Q388" s="4"/>
      <c r="R388" s="4"/>
      <c r="S388" s="4"/>
      <c r="T388" s="4"/>
      <c r="U388" s="4"/>
    </row>
    <row r="389" spans="1:21" ht="15.75" thickBot="1" x14ac:dyDescent="0.3">
      <c r="A389" s="9"/>
      <c r="B389" s="6">
        <v>242</v>
      </c>
      <c r="C389" s="13" t="s">
        <v>1196</v>
      </c>
      <c r="D389" s="6" t="s">
        <v>10</v>
      </c>
      <c r="E389" s="6" t="s">
        <v>11</v>
      </c>
      <c r="F389" s="6" t="s">
        <v>15</v>
      </c>
      <c r="G389" s="6">
        <v>132</v>
      </c>
      <c r="H389" s="6" t="s">
        <v>16</v>
      </c>
      <c r="I389" s="11"/>
      <c r="J389" s="4"/>
      <c r="K389" s="12"/>
      <c r="L389" s="4"/>
      <c r="M389" s="4"/>
      <c r="N389" s="4"/>
      <c r="O389" s="4"/>
      <c r="P389" s="4"/>
      <c r="Q389" s="4"/>
      <c r="R389" s="4"/>
      <c r="S389" s="4"/>
      <c r="T389" s="4"/>
      <c r="U389" s="4"/>
    </row>
    <row r="390" spans="1:21" ht="15.75" thickBot="1" x14ac:dyDescent="0.3">
      <c r="A390" s="8" t="s">
        <v>402</v>
      </c>
      <c r="B390" s="5">
        <v>222</v>
      </c>
      <c r="C390" s="14" t="s">
        <v>1197</v>
      </c>
      <c r="D390" s="5" t="s">
        <v>10</v>
      </c>
      <c r="E390" s="5" t="s">
        <v>11</v>
      </c>
      <c r="F390" s="5" t="s">
        <v>12</v>
      </c>
      <c r="G390" s="5">
        <v>103</v>
      </c>
      <c r="H390" s="5" t="s">
        <v>13</v>
      </c>
      <c r="I390" s="10" t="s">
        <v>403</v>
      </c>
      <c r="J390" s="4"/>
      <c r="K390" s="12">
        <f t="shared" ref="K390:K453" si="578">(C391-C390)*1000</f>
        <v>89.675199999999961</v>
      </c>
      <c r="L390" s="4"/>
      <c r="M390" s="12">
        <f t="shared" ref="M390:M453" si="579">K390-$L$2</f>
        <v>-23.939226500000046</v>
      </c>
      <c r="N390" s="12">
        <f t="shared" ref="N390" si="580">M390^2</f>
        <v>573.08656541830442</v>
      </c>
      <c r="O390" s="4"/>
      <c r="P390" s="4"/>
      <c r="Q390" s="4"/>
      <c r="R390" s="4"/>
      <c r="S390" s="4"/>
      <c r="T390" s="4"/>
      <c r="U390" s="4"/>
    </row>
    <row r="391" spans="1:21" ht="15.75" thickBot="1" x14ac:dyDescent="0.3">
      <c r="A391" s="9"/>
      <c r="B391" s="6">
        <v>247</v>
      </c>
      <c r="C391" s="13" t="s">
        <v>1198</v>
      </c>
      <c r="D391" s="6" t="s">
        <v>10</v>
      </c>
      <c r="E391" s="6" t="s">
        <v>11</v>
      </c>
      <c r="F391" s="6" t="s">
        <v>15</v>
      </c>
      <c r="G391" s="6">
        <v>132</v>
      </c>
      <c r="H391" s="6" t="s">
        <v>16</v>
      </c>
      <c r="I391" s="11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</row>
    <row r="392" spans="1:21" ht="15.75" thickBot="1" x14ac:dyDescent="0.3">
      <c r="A392" s="8" t="s">
        <v>404</v>
      </c>
      <c r="B392" s="5">
        <v>176</v>
      </c>
      <c r="C392" s="14" t="s">
        <v>1199</v>
      </c>
      <c r="D392" s="5" t="s">
        <v>10</v>
      </c>
      <c r="E392" s="5" t="s">
        <v>11</v>
      </c>
      <c r="F392" s="5" t="s">
        <v>12</v>
      </c>
      <c r="G392" s="5">
        <v>103</v>
      </c>
      <c r="H392" s="5" t="s">
        <v>13</v>
      </c>
      <c r="I392" s="10" t="s">
        <v>405</v>
      </c>
      <c r="J392" s="4"/>
      <c r="K392" s="12">
        <f t="shared" ref="K392:K455" si="581">(C393-C392)*1000</f>
        <v>64.322500000000062</v>
      </c>
      <c r="L392" s="4"/>
      <c r="M392" s="12">
        <f t="shared" ref="M392:M455" si="582">K392-$L$2</f>
        <v>-49.291926499999946</v>
      </c>
      <c r="N392" s="12">
        <f t="shared" ref="N392" si="583">M392^2</f>
        <v>2429.6940180813967</v>
      </c>
      <c r="O392" s="4"/>
      <c r="P392" s="4"/>
      <c r="Q392" s="4"/>
      <c r="R392" s="4"/>
      <c r="S392" s="4"/>
      <c r="T392" s="4"/>
      <c r="U392" s="4"/>
    </row>
    <row r="393" spans="1:21" ht="15.75" thickBot="1" x14ac:dyDescent="0.3">
      <c r="A393" s="9"/>
      <c r="B393" s="6">
        <v>197</v>
      </c>
      <c r="C393" s="13" t="s">
        <v>1200</v>
      </c>
      <c r="D393" s="6" t="s">
        <v>10</v>
      </c>
      <c r="E393" s="6" t="s">
        <v>11</v>
      </c>
      <c r="F393" s="6" t="s">
        <v>15</v>
      </c>
      <c r="G393" s="6">
        <v>132</v>
      </c>
      <c r="H393" s="6" t="s">
        <v>16</v>
      </c>
      <c r="I393" s="11"/>
      <c r="J393" s="4"/>
      <c r="K393" s="12"/>
      <c r="L393" s="4"/>
      <c r="M393" s="4"/>
      <c r="N393" s="4"/>
      <c r="O393" s="4"/>
      <c r="P393" s="4"/>
      <c r="Q393" s="4"/>
      <c r="R393" s="4"/>
      <c r="S393" s="4"/>
      <c r="T393" s="4"/>
      <c r="U393" s="4"/>
    </row>
    <row r="394" spans="1:21" ht="15.75" thickBot="1" x14ac:dyDescent="0.3">
      <c r="A394" s="8" t="s">
        <v>406</v>
      </c>
      <c r="B394" s="5">
        <v>206</v>
      </c>
      <c r="C394" s="14" t="s">
        <v>1609</v>
      </c>
      <c r="D394" s="5" t="s">
        <v>10</v>
      </c>
      <c r="E394" s="5" t="s">
        <v>11</v>
      </c>
      <c r="F394" s="5" t="s">
        <v>12</v>
      </c>
      <c r="G394" s="5">
        <v>103</v>
      </c>
      <c r="H394" s="5" t="s">
        <v>13</v>
      </c>
      <c r="I394" s="10" t="s">
        <v>407</v>
      </c>
      <c r="J394" s="4"/>
      <c r="K394" s="12">
        <f t="shared" ref="K394:K457" si="584">(C395-C394)*1000</f>
        <v>130.1814</v>
      </c>
      <c r="L394" s="4"/>
      <c r="M394" s="12">
        <f t="shared" ref="M394:M457" si="585">K394-$L$2</f>
        <v>16.566973499999989</v>
      </c>
      <c r="N394" s="12">
        <f t="shared" ref="N394" si="586">M394^2</f>
        <v>274.46461094970186</v>
      </c>
      <c r="O394" s="4"/>
      <c r="P394" s="4"/>
      <c r="Q394" s="4"/>
      <c r="R394" s="4"/>
      <c r="S394" s="4"/>
      <c r="T394" s="4"/>
      <c r="U394" s="4"/>
    </row>
    <row r="395" spans="1:21" ht="15.75" thickBot="1" x14ac:dyDescent="0.3">
      <c r="A395" s="9"/>
      <c r="B395" s="6">
        <v>242</v>
      </c>
      <c r="C395" s="13" t="s">
        <v>1201</v>
      </c>
      <c r="D395" s="6" t="s">
        <v>10</v>
      </c>
      <c r="E395" s="6" t="s">
        <v>11</v>
      </c>
      <c r="F395" s="6" t="s">
        <v>15</v>
      </c>
      <c r="G395" s="6">
        <v>132</v>
      </c>
      <c r="H395" s="6" t="s">
        <v>16</v>
      </c>
      <c r="I395" s="11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</row>
    <row r="396" spans="1:21" ht="15.75" thickBot="1" x14ac:dyDescent="0.3">
      <c r="A396" s="8" t="s">
        <v>408</v>
      </c>
      <c r="B396" s="5">
        <v>234</v>
      </c>
      <c r="C396" s="14" t="s">
        <v>1202</v>
      </c>
      <c r="D396" s="5" t="s">
        <v>10</v>
      </c>
      <c r="E396" s="5" t="s">
        <v>11</v>
      </c>
      <c r="F396" s="5" t="s">
        <v>12</v>
      </c>
      <c r="G396" s="5">
        <v>103</v>
      </c>
      <c r="H396" s="5" t="s">
        <v>13</v>
      </c>
      <c r="I396" s="10" t="s">
        <v>409</v>
      </c>
      <c r="J396" s="4"/>
      <c r="K396" s="12">
        <f t="shared" ref="K396:K459" si="587">(C397-C396)*1000</f>
        <v>104.39770000000004</v>
      </c>
      <c r="L396" s="4"/>
      <c r="M396" s="12">
        <f t="shared" ref="M396:M459" si="588">K396-$L$2</f>
        <v>-9.2167264999999645</v>
      </c>
      <c r="N396" s="12">
        <f t="shared" ref="N396" si="589">M396^2</f>
        <v>84.948047375801593</v>
      </c>
      <c r="O396" s="4"/>
      <c r="P396" s="4"/>
      <c r="Q396" s="4"/>
      <c r="R396" s="4"/>
      <c r="S396" s="4"/>
      <c r="T396" s="4"/>
      <c r="U396" s="4"/>
    </row>
    <row r="397" spans="1:21" ht="15.75" thickBot="1" x14ac:dyDescent="0.3">
      <c r="A397" s="9"/>
      <c r="B397" s="6">
        <v>262</v>
      </c>
      <c r="C397" s="13" t="s">
        <v>1203</v>
      </c>
      <c r="D397" s="6" t="s">
        <v>10</v>
      </c>
      <c r="E397" s="6" t="s">
        <v>11</v>
      </c>
      <c r="F397" s="6" t="s">
        <v>15</v>
      </c>
      <c r="G397" s="6">
        <v>132</v>
      </c>
      <c r="H397" s="6" t="s">
        <v>16</v>
      </c>
      <c r="I397" s="11"/>
      <c r="J397" s="4"/>
      <c r="K397" s="12"/>
      <c r="L397" s="4"/>
      <c r="M397" s="4"/>
      <c r="N397" s="4"/>
      <c r="O397" s="4"/>
      <c r="P397" s="4"/>
      <c r="Q397" s="4"/>
      <c r="R397" s="4"/>
      <c r="S397" s="4"/>
      <c r="T397" s="4"/>
      <c r="U397" s="4"/>
    </row>
    <row r="398" spans="1:21" ht="15.75" thickBot="1" x14ac:dyDescent="0.3">
      <c r="A398" s="8" t="s">
        <v>410</v>
      </c>
      <c r="B398" s="5">
        <v>204</v>
      </c>
      <c r="C398" s="14" t="s">
        <v>1204</v>
      </c>
      <c r="D398" s="5" t="s">
        <v>10</v>
      </c>
      <c r="E398" s="5" t="s">
        <v>11</v>
      </c>
      <c r="F398" s="5" t="s">
        <v>12</v>
      </c>
      <c r="G398" s="5">
        <v>103</v>
      </c>
      <c r="H398" s="5" t="s">
        <v>13</v>
      </c>
      <c r="I398" s="10" t="s">
        <v>411</v>
      </c>
      <c r="J398" s="4"/>
      <c r="K398" s="12">
        <f t="shared" ref="K398:K461" si="590">(C399-C398)*1000</f>
        <v>95.678099999999873</v>
      </c>
      <c r="L398" s="4"/>
      <c r="M398" s="12">
        <f t="shared" ref="M398:M461" si="591">K398-$L$2</f>
        <v>-17.936326500000135</v>
      </c>
      <c r="N398" s="12">
        <f t="shared" ref="N398" si="592">M398^2</f>
        <v>321.71180831460708</v>
      </c>
      <c r="O398" s="4"/>
      <c r="P398" s="4"/>
      <c r="Q398" s="4"/>
      <c r="R398" s="4"/>
      <c r="S398" s="4"/>
      <c r="T398" s="4"/>
      <c r="U398" s="4"/>
    </row>
    <row r="399" spans="1:21" ht="15.75" thickBot="1" x14ac:dyDescent="0.3">
      <c r="A399" s="9"/>
      <c r="B399" s="6">
        <v>230</v>
      </c>
      <c r="C399" s="13" t="s">
        <v>1205</v>
      </c>
      <c r="D399" s="6" t="s">
        <v>10</v>
      </c>
      <c r="E399" s="6" t="s">
        <v>11</v>
      </c>
      <c r="F399" s="6" t="s">
        <v>15</v>
      </c>
      <c r="G399" s="6">
        <v>132</v>
      </c>
      <c r="H399" s="6" t="s">
        <v>16</v>
      </c>
      <c r="I399" s="11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</row>
    <row r="400" spans="1:21" ht="15.75" thickBot="1" x14ac:dyDescent="0.3">
      <c r="A400" s="8" t="s">
        <v>412</v>
      </c>
      <c r="B400" s="5">
        <v>189</v>
      </c>
      <c r="C400" s="14" t="s">
        <v>1206</v>
      </c>
      <c r="D400" s="5" t="s">
        <v>10</v>
      </c>
      <c r="E400" s="5" t="s">
        <v>11</v>
      </c>
      <c r="F400" s="5" t="s">
        <v>12</v>
      </c>
      <c r="G400" s="5">
        <v>103</v>
      </c>
      <c r="H400" s="5" t="s">
        <v>13</v>
      </c>
      <c r="I400" s="10" t="s">
        <v>413</v>
      </c>
      <c r="J400" s="4"/>
      <c r="K400" s="12">
        <f t="shared" ref="K400:K463" si="593">(C401-C400)*1000</f>
        <v>96.13479999999997</v>
      </c>
      <c r="L400" s="4"/>
      <c r="M400" s="12">
        <f t="shared" ref="M400:M463" si="594">K400-$L$2</f>
        <v>-17.479626500000037</v>
      </c>
      <c r="N400" s="12">
        <f t="shared" ref="N400" si="595">M400^2</f>
        <v>305.53734257950356</v>
      </c>
      <c r="O400" s="4"/>
      <c r="P400" s="4"/>
      <c r="Q400" s="4"/>
      <c r="R400" s="4"/>
      <c r="S400" s="4"/>
      <c r="T400" s="4"/>
      <c r="U400" s="4"/>
    </row>
    <row r="401" spans="1:21" ht="15.75" thickBot="1" x14ac:dyDescent="0.3">
      <c r="A401" s="9"/>
      <c r="B401" s="6">
        <v>217</v>
      </c>
      <c r="C401" s="13" t="s">
        <v>1207</v>
      </c>
      <c r="D401" s="6" t="s">
        <v>10</v>
      </c>
      <c r="E401" s="6" t="s">
        <v>11</v>
      </c>
      <c r="F401" s="6" t="s">
        <v>15</v>
      </c>
      <c r="G401" s="6">
        <v>132</v>
      </c>
      <c r="H401" s="6" t="s">
        <v>16</v>
      </c>
      <c r="I401" s="11"/>
      <c r="J401" s="4"/>
      <c r="K401" s="12"/>
      <c r="L401" s="4"/>
      <c r="M401" s="4"/>
      <c r="N401" s="4"/>
      <c r="O401" s="4"/>
      <c r="P401" s="4"/>
      <c r="Q401" s="4"/>
      <c r="R401" s="4"/>
      <c r="S401" s="4"/>
      <c r="T401" s="4"/>
      <c r="U401" s="4"/>
    </row>
    <row r="402" spans="1:21" ht="15.75" thickBot="1" x14ac:dyDescent="0.3">
      <c r="A402" s="8" t="s">
        <v>414</v>
      </c>
      <c r="B402" s="5">
        <v>222</v>
      </c>
      <c r="C402" s="14" t="s">
        <v>1208</v>
      </c>
      <c r="D402" s="5" t="s">
        <v>10</v>
      </c>
      <c r="E402" s="5" t="s">
        <v>11</v>
      </c>
      <c r="F402" s="5" t="s">
        <v>12</v>
      </c>
      <c r="G402" s="5">
        <v>103</v>
      </c>
      <c r="H402" s="5" t="s">
        <v>13</v>
      </c>
      <c r="I402" s="10" t="s">
        <v>415</v>
      </c>
      <c r="J402" s="4"/>
      <c r="K402" s="12">
        <f t="shared" ref="K402:K465" si="596">(C403-C402)*1000</f>
        <v>104.99109999999989</v>
      </c>
      <c r="L402" s="4"/>
      <c r="M402" s="12">
        <f t="shared" ref="M402:M465" si="597">K402-$L$2</f>
        <v>-8.6233265000001182</v>
      </c>
      <c r="N402" s="12">
        <f t="shared" ref="N402" si="598">M402^2</f>
        <v>74.361759925604289</v>
      </c>
      <c r="O402" s="4"/>
      <c r="P402" s="4"/>
      <c r="Q402" s="4"/>
      <c r="R402" s="4"/>
      <c r="S402" s="4"/>
      <c r="T402" s="4"/>
      <c r="U402" s="4"/>
    </row>
    <row r="403" spans="1:21" ht="15.75" thickBot="1" x14ac:dyDescent="0.3">
      <c r="A403" s="9"/>
      <c r="B403" s="6">
        <v>248</v>
      </c>
      <c r="C403" s="13" t="s">
        <v>1209</v>
      </c>
      <c r="D403" s="6" t="s">
        <v>10</v>
      </c>
      <c r="E403" s="6" t="s">
        <v>11</v>
      </c>
      <c r="F403" s="6" t="s">
        <v>15</v>
      </c>
      <c r="G403" s="6">
        <v>164</v>
      </c>
      <c r="H403" s="6" t="s">
        <v>16</v>
      </c>
      <c r="I403" s="11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</row>
    <row r="404" spans="1:21" ht="15.75" thickBot="1" x14ac:dyDescent="0.3">
      <c r="A404" s="8" t="s">
        <v>416</v>
      </c>
      <c r="B404" s="5">
        <v>218</v>
      </c>
      <c r="C404" s="14" t="s">
        <v>1210</v>
      </c>
      <c r="D404" s="5" t="s">
        <v>10</v>
      </c>
      <c r="E404" s="5" t="s">
        <v>11</v>
      </c>
      <c r="F404" s="5" t="s">
        <v>12</v>
      </c>
      <c r="G404" s="5">
        <v>103</v>
      </c>
      <c r="H404" s="5" t="s">
        <v>13</v>
      </c>
      <c r="I404" s="10" t="s">
        <v>417</v>
      </c>
      <c r="J404" s="4"/>
      <c r="K404" s="12">
        <f t="shared" ref="K404:K467" si="599">(C405-C404)*1000</f>
        <v>176.23990000000012</v>
      </c>
      <c r="L404" s="4"/>
      <c r="M404" s="12">
        <f t="shared" ref="M404:M467" si="600">K404-$L$2</f>
        <v>62.625473500000112</v>
      </c>
      <c r="N404" s="12">
        <f t="shared" ref="N404" si="601">M404^2</f>
        <v>3921.9499310992164</v>
      </c>
      <c r="O404" s="4"/>
      <c r="P404" s="4"/>
      <c r="Q404" s="4"/>
      <c r="R404" s="4"/>
      <c r="S404" s="4"/>
      <c r="T404" s="4"/>
      <c r="U404" s="4"/>
    </row>
    <row r="405" spans="1:21" ht="15.75" thickBot="1" x14ac:dyDescent="0.3">
      <c r="A405" s="9"/>
      <c r="B405" s="6">
        <v>258</v>
      </c>
      <c r="C405" s="13" t="s">
        <v>1211</v>
      </c>
      <c r="D405" s="6" t="s">
        <v>10</v>
      </c>
      <c r="E405" s="6" t="s">
        <v>11</v>
      </c>
      <c r="F405" s="6" t="s">
        <v>15</v>
      </c>
      <c r="G405" s="6">
        <v>164</v>
      </c>
      <c r="H405" s="6" t="s">
        <v>16</v>
      </c>
      <c r="I405" s="11"/>
      <c r="J405" s="4"/>
      <c r="K405" s="12"/>
      <c r="L405" s="4"/>
      <c r="M405" s="4"/>
      <c r="N405" s="4"/>
      <c r="O405" s="4"/>
      <c r="P405" s="4"/>
      <c r="Q405" s="4"/>
      <c r="R405" s="4"/>
      <c r="S405" s="4"/>
      <c r="T405" s="4"/>
      <c r="U405" s="4"/>
    </row>
    <row r="406" spans="1:21" ht="15.75" thickBot="1" x14ac:dyDescent="0.3">
      <c r="A406" s="8" t="s">
        <v>418</v>
      </c>
      <c r="B406" s="5">
        <v>256</v>
      </c>
      <c r="C406" s="14" t="s">
        <v>1212</v>
      </c>
      <c r="D406" s="5" t="s">
        <v>10</v>
      </c>
      <c r="E406" s="5" t="s">
        <v>11</v>
      </c>
      <c r="F406" s="5" t="s">
        <v>12</v>
      </c>
      <c r="G406" s="5">
        <v>103</v>
      </c>
      <c r="H406" s="5" t="s">
        <v>13</v>
      </c>
      <c r="I406" s="10" t="s">
        <v>419</v>
      </c>
      <c r="J406" s="4"/>
      <c r="K406" s="12">
        <f t="shared" ref="K406:K469" si="602">(C407-C406)*1000</f>
        <v>80.594000000000051</v>
      </c>
      <c r="L406" s="4"/>
      <c r="M406" s="12">
        <f t="shared" ref="M406:M469" si="603">K406-$L$2</f>
        <v>-33.020426499999957</v>
      </c>
      <c r="N406" s="12">
        <f t="shared" ref="N406" si="604">M406^2</f>
        <v>1090.3485662418993</v>
      </c>
      <c r="O406" s="4"/>
      <c r="P406" s="4"/>
      <c r="Q406" s="4"/>
      <c r="R406" s="4"/>
      <c r="S406" s="4"/>
      <c r="T406" s="4"/>
      <c r="U406" s="4"/>
    </row>
    <row r="407" spans="1:21" ht="15.75" thickBot="1" x14ac:dyDescent="0.3">
      <c r="A407" s="9"/>
      <c r="B407" s="6">
        <v>279</v>
      </c>
      <c r="C407" s="13" t="s">
        <v>1213</v>
      </c>
      <c r="D407" s="6" t="s">
        <v>10</v>
      </c>
      <c r="E407" s="6" t="s">
        <v>11</v>
      </c>
      <c r="F407" s="6" t="s">
        <v>15</v>
      </c>
      <c r="G407" s="6">
        <v>164</v>
      </c>
      <c r="H407" s="6" t="s">
        <v>16</v>
      </c>
      <c r="I407" s="11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</row>
    <row r="408" spans="1:21" ht="15.75" thickBot="1" x14ac:dyDescent="0.3">
      <c r="A408" s="8" t="s">
        <v>420</v>
      </c>
      <c r="B408" s="5">
        <v>286</v>
      </c>
      <c r="C408" s="14" t="s">
        <v>1214</v>
      </c>
      <c r="D408" s="5" t="s">
        <v>10</v>
      </c>
      <c r="E408" s="5" t="s">
        <v>11</v>
      </c>
      <c r="F408" s="5" t="s">
        <v>12</v>
      </c>
      <c r="G408" s="5">
        <v>103</v>
      </c>
      <c r="H408" s="5" t="s">
        <v>13</v>
      </c>
      <c r="I408" s="10" t="s">
        <v>421</v>
      </c>
      <c r="J408" s="4"/>
      <c r="K408" s="12">
        <f t="shared" ref="K408:K471" si="605">(C409-C408)*1000</f>
        <v>75.330000000000126</v>
      </c>
      <c r="L408" s="4"/>
      <c r="M408" s="12">
        <f t="shared" ref="M408:M471" si="606">K408-$L$2</f>
        <v>-38.284426499999881</v>
      </c>
      <c r="N408" s="12">
        <f t="shared" ref="N408" si="607">M408^2</f>
        <v>1465.6973124338931</v>
      </c>
      <c r="O408" s="4"/>
      <c r="P408" s="4"/>
      <c r="Q408" s="4"/>
      <c r="R408" s="4"/>
      <c r="S408" s="4"/>
      <c r="T408" s="4"/>
      <c r="U408" s="4"/>
    </row>
    <row r="409" spans="1:21" ht="15.75" thickBot="1" x14ac:dyDescent="0.3">
      <c r="A409" s="9"/>
      <c r="B409" s="6">
        <v>307</v>
      </c>
      <c r="C409" s="13" t="s">
        <v>1215</v>
      </c>
      <c r="D409" s="6" t="s">
        <v>10</v>
      </c>
      <c r="E409" s="6" t="s">
        <v>11</v>
      </c>
      <c r="F409" s="6" t="s">
        <v>15</v>
      </c>
      <c r="G409" s="6">
        <v>164</v>
      </c>
      <c r="H409" s="6" t="s">
        <v>16</v>
      </c>
      <c r="I409" s="11"/>
      <c r="J409" s="4"/>
      <c r="K409" s="12"/>
      <c r="L409" s="4"/>
      <c r="M409" s="4"/>
      <c r="N409" s="4"/>
      <c r="O409" s="4"/>
      <c r="P409" s="4"/>
      <c r="Q409" s="4"/>
      <c r="R409" s="4"/>
      <c r="S409" s="4"/>
      <c r="T409" s="4"/>
      <c r="U409" s="4"/>
    </row>
    <row r="410" spans="1:21" ht="15.75" thickBot="1" x14ac:dyDescent="0.3">
      <c r="A410" s="8" t="s">
        <v>422</v>
      </c>
      <c r="B410" s="5">
        <v>240</v>
      </c>
      <c r="C410" s="14" t="s">
        <v>1216</v>
      </c>
      <c r="D410" s="5" t="s">
        <v>10</v>
      </c>
      <c r="E410" s="5" t="s">
        <v>11</v>
      </c>
      <c r="F410" s="5" t="s">
        <v>12</v>
      </c>
      <c r="G410" s="5">
        <v>103</v>
      </c>
      <c r="H410" s="5" t="s">
        <v>13</v>
      </c>
      <c r="I410" s="10" t="s">
        <v>423</v>
      </c>
      <c r="J410" s="4"/>
      <c r="K410" s="12">
        <f t="shared" ref="K410:K473" si="608">(C411-C410)*1000</f>
        <v>120.1954999999999</v>
      </c>
      <c r="L410" s="4"/>
      <c r="M410" s="12">
        <f t="shared" ref="M410:M473" si="609">K410-$L$2</f>
        <v>6.5810734999998886</v>
      </c>
      <c r="N410" s="12">
        <f t="shared" ref="N410" si="610">M410^2</f>
        <v>43.310528412400785</v>
      </c>
      <c r="O410" s="4"/>
      <c r="P410" s="4"/>
      <c r="Q410" s="4"/>
      <c r="R410" s="4"/>
      <c r="S410" s="4"/>
      <c r="T410" s="4"/>
      <c r="U410" s="4"/>
    </row>
    <row r="411" spans="1:21" ht="15.75" thickBot="1" x14ac:dyDescent="0.3">
      <c r="A411" s="9"/>
      <c r="B411" s="6">
        <v>268</v>
      </c>
      <c r="C411" s="13" t="s">
        <v>1217</v>
      </c>
      <c r="D411" s="6" t="s">
        <v>10</v>
      </c>
      <c r="E411" s="6" t="s">
        <v>11</v>
      </c>
      <c r="F411" s="6" t="s">
        <v>15</v>
      </c>
      <c r="G411" s="6">
        <v>164</v>
      </c>
      <c r="H411" s="6" t="s">
        <v>16</v>
      </c>
      <c r="I411" s="11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</row>
    <row r="412" spans="1:21" ht="15.75" thickBot="1" x14ac:dyDescent="0.3">
      <c r="A412" s="8" t="s">
        <v>424</v>
      </c>
      <c r="B412" s="5">
        <v>406</v>
      </c>
      <c r="C412" s="14" t="s">
        <v>1218</v>
      </c>
      <c r="D412" s="5" t="s">
        <v>10</v>
      </c>
      <c r="E412" s="5" t="s">
        <v>11</v>
      </c>
      <c r="F412" s="5" t="s">
        <v>12</v>
      </c>
      <c r="G412" s="5">
        <v>103</v>
      </c>
      <c r="H412" s="5" t="s">
        <v>13</v>
      </c>
      <c r="I412" s="10" t="s">
        <v>425</v>
      </c>
      <c r="J412" s="4"/>
      <c r="K412" s="12">
        <f t="shared" ref="K412:K475" si="611">(C413-C412)*1000</f>
        <v>121.0226000000001</v>
      </c>
      <c r="L412" s="4"/>
      <c r="M412" s="12">
        <f t="shared" ref="M412:M475" si="612">K412-$L$2</f>
        <v>7.408173500000089</v>
      </c>
      <c r="N412" s="12">
        <f t="shared" ref="N412" si="613">M412^2</f>
        <v>54.881034606103569</v>
      </c>
      <c r="O412" s="4"/>
      <c r="P412" s="4"/>
      <c r="Q412" s="4"/>
      <c r="R412" s="4"/>
      <c r="S412" s="4"/>
      <c r="T412" s="4"/>
      <c r="U412" s="4"/>
    </row>
    <row r="413" spans="1:21" ht="15.75" thickBot="1" x14ac:dyDescent="0.3">
      <c r="A413" s="9"/>
      <c r="B413" s="6">
        <v>442</v>
      </c>
      <c r="C413" s="13" t="s">
        <v>1219</v>
      </c>
      <c r="D413" s="6" t="s">
        <v>10</v>
      </c>
      <c r="E413" s="6" t="s">
        <v>11</v>
      </c>
      <c r="F413" s="6" t="s">
        <v>15</v>
      </c>
      <c r="G413" s="6">
        <v>164</v>
      </c>
      <c r="H413" s="6" t="s">
        <v>16</v>
      </c>
      <c r="I413" s="11"/>
      <c r="J413" s="4"/>
      <c r="K413" s="12"/>
      <c r="L413" s="4"/>
      <c r="M413" s="4"/>
      <c r="N413" s="4"/>
      <c r="O413" s="4"/>
      <c r="P413" s="4"/>
      <c r="Q413" s="4"/>
      <c r="R413" s="4"/>
      <c r="S413" s="4"/>
      <c r="T413" s="4"/>
      <c r="U413" s="4"/>
    </row>
    <row r="414" spans="1:21" ht="15.75" thickBot="1" x14ac:dyDescent="0.3">
      <c r="A414" s="8" t="s">
        <v>426</v>
      </c>
      <c r="B414" s="5">
        <v>271</v>
      </c>
      <c r="C414" s="14" t="s">
        <v>1220</v>
      </c>
      <c r="D414" s="5" t="s">
        <v>10</v>
      </c>
      <c r="E414" s="5" t="s">
        <v>11</v>
      </c>
      <c r="F414" s="5" t="s">
        <v>12</v>
      </c>
      <c r="G414" s="5">
        <v>103</v>
      </c>
      <c r="H414" s="5" t="s">
        <v>13</v>
      </c>
      <c r="I414" s="10" t="s">
        <v>427</v>
      </c>
      <c r="J414" s="4"/>
      <c r="K414" s="12">
        <f t="shared" ref="K414:K477" si="614">(C415-C414)*1000</f>
        <v>212.74339999999992</v>
      </c>
      <c r="L414" s="4"/>
      <c r="M414" s="12">
        <f t="shared" ref="M414:M477" si="615">K414-$L$2</f>
        <v>99.128973499999915</v>
      </c>
      <c r="N414" s="12">
        <f t="shared" ref="N414" si="616">M414^2</f>
        <v>9826.5533871636853</v>
      </c>
      <c r="O414" s="4"/>
      <c r="P414" s="4"/>
      <c r="Q414" s="4"/>
      <c r="R414" s="4"/>
      <c r="S414" s="4"/>
      <c r="T414" s="4"/>
      <c r="U414" s="4"/>
    </row>
    <row r="415" spans="1:21" ht="15.75" thickBot="1" x14ac:dyDescent="0.3">
      <c r="A415" s="9"/>
      <c r="B415" s="6">
        <v>310</v>
      </c>
      <c r="C415" s="13" t="s">
        <v>1221</v>
      </c>
      <c r="D415" s="6" t="s">
        <v>10</v>
      </c>
      <c r="E415" s="6" t="s">
        <v>11</v>
      </c>
      <c r="F415" s="6" t="s">
        <v>15</v>
      </c>
      <c r="G415" s="6">
        <v>164</v>
      </c>
      <c r="H415" s="6" t="s">
        <v>16</v>
      </c>
      <c r="I415" s="11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</row>
    <row r="416" spans="1:21" ht="15.75" thickBot="1" x14ac:dyDescent="0.3">
      <c r="A416" s="8" t="s">
        <v>428</v>
      </c>
      <c r="B416" s="5">
        <v>307</v>
      </c>
      <c r="C416" s="14" t="s">
        <v>1222</v>
      </c>
      <c r="D416" s="5" t="s">
        <v>10</v>
      </c>
      <c r="E416" s="5" t="s">
        <v>11</v>
      </c>
      <c r="F416" s="5" t="s">
        <v>12</v>
      </c>
      <c r="G416" s="5">
        <v>103</v>
      </c>
      <c r="H416" s="5" t="s">
        <v>13</v>
      </c>
      <c r="I416" s="10" t="s">
        <v>429</v>
      </c>
      <c r="J416" s="4"/>
      <c r="K416" s="12">
        <f t="shared" ref="K416:K479" si="617">(C417-C416)*1000</f>
        <v>183.29930000000004</v>
      </c>
      <c r="L416" s="4"/>
      <c r="M416" s="12">
        <f t="shared" ref="M416:M479" si="618">K416-$L$2</f>
        <v>69.684873500000037</v>
      </c>
      <c r="N416" s="12">
        <f t="shared" ref="N416" si="619">M416^2</f>
        <v>4855.9815947110073</v>
      </c>
      <c r="O416" s="4"/>
      <c r="P416" s="4"/>
      <c r="Q416" s="4"/>
      <c r="R416" s="4"/>
      <c r="S416" s="4"/>
      <c r="T416" s="4"/>
      <c r="U416" s="4"/>
    </row>
    <row r="417" spans="1:21" ht="15.75" thickBot="1" x14ac:dyDescent="0.3">
      <c r="A417" s="9"/>
      <c r="B417" s="6">
        <v>354</v>
      </c>
      <c r="C417" s="13" t="s">
        <v>1223</v>
      </c>
      <c r="D417" s="6" t="s">
        <v>10</v>
      </c>
      <c r="E417" s="6" t="s">
        <v>11</v>
      </c>
      <c r="F417" s="6" t="s">
        <v>15</v>
      </c>
      <c r="G417" s="6">
        <v>164</v>
      </c>
      <c r="H417" s="6" t="s">
        <v>16</v>
      </c>
      <c r="I417" s="11"/>
      <c r="J417" s="4"/>
      <c r="K417" s="12"/>
      <c r="L417" s="4"/>
      <c r="M417" s="4"/>
      <c r="N417" s="4"/>
      <c r="O417" s="4"/>
      <c r="P417" s="4"/>
      <c r="Q417" s="4"/>
      <c r="R417" s="4"/>
      <c r="S417" s="4"/>
      <c r="T417" s="4"/>
      <c r="U417" s="4"/>
    </row>
    <row r="418" spans="1:21" ht="15.75" thickBot="1" x14ac:dyDescent="0.3">
      <c r="A418" s="8" t="s">
        <v>430</v>
      </c>
      <c r="B418" s="5">
        <v>492</v>
      </c>
      <c r="C418" s="14" t="s">
        <v>1224</v>
      </c>
      <c r="D418" s="5" t="s">
        <v>10</v>
      </c>
      <c r="E418" s="5" t="s">
        <v>11</v>
      </c>
      <c r="F418" s="5" t="s">
        <v>12</v>
      </c>
      <c r="G418" s="5">
        <v>103</v>
      </c>
      <c r="H418" s="5" t="s">
        <v>13</v>
      </c>
      <c r="I418" s="10" t="s">
        <v>431</v>
      </c>
      <c r="J418" s="4"/>
      <c r="K418" s="12">
        <f t="shared" ref="K418:K481" si="620">(C419-C418)*1000</f>
        <v>203.99849999999998</v>
      </c>
      <c r="L418" s="4"/>
      <c r="M418" s="12">
        <f t="shared" ref="M418:M481" si="621">K418-$L$2</f>
        <v>90.384073499999971</v>
      </c>
      <c r="N418" s="12">
        <f t="shared" ref="N418" si="622">M418^2</f>
        <v>8169.2807424533967</v>
      </c>
      <c r="O418" s="4"/>
      <c r="P418" s="4"/>
      <c r="Q418" s="4"/>
      <c r="R418" s="4"/>
      <c r="S418" s="4"/>
      <c r="T418" s="4"/>
      <c r="U418" s="4"/>
    </row>
    <row r="419" spans="1:21" ht="15.75" thickBot="1" x14ac:dyDescent="0.3">
      <c r="A419" s="9"/>
      <c r="B419" s="6">
        <v>542</v>
      </c>
      <c r="C419" s="13" t="s">
        <v>1225</v>
      </c>
      <c r="D419" s="6" t="s">
        <v>10</v>
      </c>
      <c r="E419" s="6" t="s">
        <v>11</v>
      </c>
      <c r="F419" s="6" t="s">
        <v>15</v>
      </c>
      <c r="G419" s="6">
        <v>164</v>
      </c>
      <c r="H419" s="6" t="s">
        <v>16</v>
      </c>
      <c r="I419" s="11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</row>
    <row r="420" spans="1:21" ht="15.75" thickBot="1" x14ac:dyDescent="0.3">
      <c r="A420" s="8" t="s">
        <v>432</v>
      </c>
      <c r="B420" s="5">
        <v>415</v>
      </c>
      <c r="C420" s="14" t="s">
        <v>1226</v>
      </c>
      <c r="D420" s="5" t="s">
        <v>10</v>
      </c>
      <c r="E420" s="5" t="s">
        <v>11</v>
      </c>
      <c r="F420" s="5" t="s">
        <v>12</v>
      </c>
      <c r="G420" s="5">
        <v>103</v>
      </c>
      <c r="H420" s="5" t="s">
        <v>13</v>
      </c>
      <c r="I420" s="10" t="s">
        <v>433</v>
      </c>
      <c r="J420" s="4"/>
      <c r="K420" s="12">
        <f t="shared" ref="K420:K483" si="623">(C421-C420)*1000</f>
        <v>84.139599999999874</v>
      </c>
      <c r="L420" s="4"/>
      <c r="M420" s="12">
        <f t="shared" ref="M420:M483" si="624">K420-$L$2</f>
        <v>-29.474826500000134</v>
      </c>
      <c r="N420" s="12">
        <f t="shared" ref="N420" si="625">M420^2</f>
        <v>868.76539720511016</v>
      </c>
      <c r="O420" s="4"/>
      <c r="P420" s="4"/>
      <c r="Q420" s="4"/>
      <c r="R420" s="4"/>
      <c r="S420" s="4"/>
      <c r="T420" s="4"/>
      <c r="U420" s="4"/>
    </row>
    <row r="421" spans="1:21" ht="15.75" thickBot="1" x14ac:dyDescent="0.3">
      <c r="A421" s="9"/>
      <c r="B421" s="6">
        <v>436</v>
      </c>
      <c r="C421" s="13" t="s">
        <v>1227</v>
      </c>
      <c r="D421" s="6" t="s">
        <v>10</v>
      </c>
      <c r="E421" s="6" t="s">
        <v>11</v>
      </c>
      <c r="F421" s="6" t="s">
        <v>15</v>
      </c>
      <c r="G421" s="6">
        <v>164</v>
      </c>
      <c r="H421" s="6" t="s">
        <v>16</v>
      </c>
      <c r="I421" s="11"/>
      <c r="J421" s="4"/>
      <c r="K421" s="12"/>
      <c r="L421" s="4"/>
      <c r="M421" s="4"/>
      <c r="N421" s="4"/>
      <c r="O421" s="4"/>
      <c r="P421" s="4"/>
      <c r="Q421" s="4"/>
      <c r="R421" s="4"/>
      <c r="S421" s="4"/>
      <c r="T421" s="4"/>
      <c r="U421" s="4"/>
    </row>
    <row r="422" spans="1:21" ht="15.75" thickBot="1" x14ac:dyDescent="0.3">
      <c r="A422" s="8" t="s">
        <v>434</v>
      </c>
      <c r="B422" s="5">
        <v>358</v>
      </c>
      <c r="C422" s="14" t="s">
        <v>1228</v>
      </c>
      <c r="D422" s="5" t="s">
        <v>10</v>
      </c>
      <c r="E422" s="5" t="s">
        <v>11</v>
      </c>
      <c r="F422" s="5" t="s">
        <v>12</v>
      </c>
      <c r="G422" s="5">
        <v>103</v>
      </c>
      <c r="H422" s="5" t="s">
        <v>13</v>
      </c>
      <c r="I422" s="10" t="s">
        <v>435</v>
      </c>
      <c r="J422" s="4"/>
      <c r="K422" s="12">
        <f t="shared" ref="K422:K485" si="626">(C423-C422)*1000</f>
        <v>68.305199999999957</v>
      </c>
      <c r="L422" s="4"/>
      <c r="M422" s="12">
        <f t="shared" ref="M422:M485" si="627">K422-$L$2</f>
        <v>-45.309226500000051</v>
      </c>
      <c r="N422" s="12">
        <f t="shared" ref="N422" si="628">M422^2</f>
        <v>2052.9260060283068</v>
      </c>
      <c r="O422" s="4"/>
      <c r="P422" s="4"/>
      <c r="Q422" s="4"/>
      <c r="R422" s="4"/>
      <c r="S422" s="4"/>
      <c r="T422" s="4"/>
      <c r="U422" s="4"/>
    </row>
    <row r="423" spans="1:21" ht="15.75" thickBot="1" x14ac:dyDescent="0.3">
      <c r="A423" s="9"/>
      <c r="B423" s="6">
        <v>400</v>
      </c>
      <c r="C423" s="13" t="s">
        <v>1229</v>
      </c>
      <c r="D423" s="6" t="s">
        <v>10</v>
      </c>
      <c r="E423" s="6" t="s">
        <v>11</v>
      </c>
      <c r="F423" s="6" t="s">
        <v>15</v>
      </c>
      <c r="G423" s="6">
        <v>164</v>
      </c>
      <c r="H423" s="6" t="s">
        <v>16</v>
      </c>
      <c r="I423" s="11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</row>
    <row r="424" spans="1:21" ht="15.75" thickBot="1" x14ac:dyDescent="0.3">
      <c r="A424" s="8" t="s">
        <v>436</v>
      </c>
      <c r="B424" s="5">
        <v>247</v>
      </c>
      <c r="C424" s="14" t="s">
        <v>1233</v>
      </c>
      <c r="D424" s="5" t="s">
        <v>10</v>
      </c>
      <c r="E424" s="5" t="s">
        <v>11</v>
      </c>
      <c r="F424" s="5" t="s">
        <v>12</v>
      </c>
      <c r="G424" s="5">
        <v>103</v>
      </c>
      <c r="H424" s="5" t="s">
        <v>13</v>
      </c>
      <c r="I424" s="10" t="s">
        <v>437</v>
      </c>
      <c r="J424" s="4"/>
      <c r="K424" s="12">
        <f t="shared" ref="K424:K487" si="629">(C425-C424)*1000</f>
        <v>146.24629999999993</v>
      </c>
      <c r="L424" s="4"/>
      <c r="M424" s="12">
        <f t="shared" ref="M424:M487" si="630">K424-$L$2</f>
        <v>32.631873499999926</v>
      </c>
      <c r="N424" s="12">
        <f t="shared" ref="N424" si="631">M424^2</f>
        <v>1064.8391681199973</v>
      </c>
      <c r="O424" s="4"/>
      <c r="P424" s="4"/>
      <c r="Q424" s="4"/>
      <c r="R424" s="4"/>
      <c r="S424" s="4"/>
      <c r="T424" s="4"/>
      <c r="U424" s="4"/>
    </row>
    <row r="425" spans="1:21" ht="15.75" thickBot="1" x14ac:dyDescent="0.3">
      <c r="A425" s="9"/>
      <c r="B425" s="6">
        <v>291</v>
      </c>
      <c r="C425" s="13" t="s">
        <v>1230</v>
      </c>
      <c r="D425" s="6" t="s">
        <v>10</v>
      </c>
      <c r="E425" s="6" t="s">
        <v>11</v>
      </c>
      <c r="F425" s="6" t="s">
        <v>15</v>
      </c>
      <c r="G425" s="6">
        <v>164</v>
      </c>
      <c r="H425" s="6" t="s">
        <v>16</v>
      </c>
      <c r="I425" s="11"/>
      <c r="J425" s="4"/>
      <c r="K425" s="12"/>
      <c r="L425" s="4"/>
      <c r="M425" s="4"/>
      <c r="N425" s="4"/>
      <c r="O425" s="4"/>
      <c r="P425" s="4"/>
      <c r="Q425" s="4"/>
      <c r="R425" s="4"/>
      <c r="S425" s="4"/>
      <c r="T425" s="4"/>
      <c r="U425" s="4"/>
    </row>
    <row r="426" spans="1:21" ht="15.75" thickBot="1" x14ac:dyDescent="0.3">
      <c r="A426" s="8" t="s">
        <v>438</v>
      </c>
      <c r="B426" s="5">
        <v>1350</v>
      </c>
      <c r="C426" s="14" t="s">
        <v>1231</v>
      </c>
      <c r="D426" s="5" t="s">
        <v>10</v>
      </c>
      <c r="E426" s="5" t="s">
        <v>11</v>
      </c>
      <c r="F426" s="5" t="s">
        <v>12</v>
      </c>
      <c r="G426" s="5">
        <v>103</v>
      </c>
      <c r="H426" s="5" t="s">
        <v>13</v>
      </c>
      <c r="I426" s="10" t="s">
        <v>439</v>
      </c>
      <c r="J426" s="4"/>
      <c r="K426" s="12">
        <f t="shared" ref="K426:K489" si="632">(C427-C426)*1000</f>
        <v>55.012100000000117</v>
      </c>
      <c r="L426" s="4"/>
      <c r="M426" s="12">
        <f t="shared" ref="M426:M489" si="633">K426-$L$2</f>
        <v>-58.60232649999989</v>
      </c>
      <c r="N426" s="12">
        <f t="shared" ref="N426" si="634">M426^2</f>
        <v>3434.2326712125891</v>
      </c>
      <c r="O426" s="4"/>
      <c r="P426" s="4"/>
      <c r="Q426" s="4"/>
      <c r="R426" s="4"/>
      <c r="S426" s="4"/>
      <c r="T426" s="4"/>
      <c r="U426" s="4"/>
    </row>
    <row r="427" spans="1:21" ht="15.75" thickBot="1" x14ac:dyDescent="0.3">
      <c r="A427" s="9"/>
      <c r="B427" s="6">
        <v>1375</v>
      </c>
      <c r="C427" s="13" t="s">
        <v>1232</v>
      </c>
      <c r="D427" s="6" t="s">
        <v>10</v>
      </c>
      <c r="E427" s="6" t="s">
        <v>11</v>
      </c>
      <c r="F427" s="6" t="s">
        <v>15</v>
      </c>
      <c r="G427" s="6">
        <v>164</v>
      </c>
      <c r="H427" s="6" t="s">
        <v>16</v>
      </c>
      <c r="I427" s="11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</row>
    <row r="428" spans="1:21" ht="15.75" thickBot="1" x14ac:dyDescent="0.3">
      <c r="A428" s="8" t="s">
        <v>440</v>
      </c>
      <c r="B428" s="5">
        <v>2983</v>
      </c>
      <c r="C428" s="14" t="s">
        <v>1234</v>
      </c>
      <c r="D428" s="5" t="s">
        <v>10</v>
      </c>
      <c r="E428" s="5" t="s">
        <v>11</v>
      </c>
      <c r="F428" s="5" t="s">
        <v>12</v>
      </c>
      <c r="G428" s="5">
        <v>103</v>
      </c>
      <c r="H428" s="5" t="s">
        <v>13</v>
      </c>
      <c r="I428" s="10" t="s">
        <v>441</v>
      </c>
      <c r="J428" s="4"/>
      <c r="K428" s="12">
        <f t="shared" ref="K428:K491" si="635">(C429-C428)*1000</f>
        <v>98.79349999999998</v>
      </c>
      <c r="L428" s="4"/>
      <c r="M428" s="12">
        <f t="shared" ref="M428:M491" si="636">K428-$L$2</f>
        <v>-14.820926500000027</v>
      </c>
      <c r="N428" s="12">
        <f t="shared" ref="N428" si="637">M428^2</f>
        <v>219.65986231840304</v>
      </c>
      <c r="O428" s="4"/>
      <c r="P428" s="4"/>
      <c r="Q428" s="4"/>
      <c r="R428" s="4"/>
      <c r="S428" s="4"/>
      <c r="T428" s="4"/>
      <c r="U428" s="4"/>
    </row>
    <row r="429" spans="1:21" ht="15.75" thickBot="1" x14ac:dyDescent="0.3">
      <c r="A429" s="9"/>
      <c r="B429" s="6">
        <v>3249</v>
      </c>
      <c r="C429" s="13" t="s">
        <v>1235</v>
      </c>
      <c r="D429" s="6" t="s">
        <v>10</v>
      </c>
      <c r="E429" s="6" t="s">
        <v>11</v>
      </c>
      <c r="F429" s="6" t="s">
        <v>15</v>
      </c>
      <c r="G429" s="6">
        <v>164</v>
      </c>
      <c r="H429" s="6" t="s">
        <v>16</v>
      </c>
      <c r="I429" s="11"/>
      <c r="J429" s="4"/>
      <c r="K429" s="12"/>
      <c r="L429" s="4"/>
      <c r="M429" s="4"/>
      <c r="N429" s="4"/>
      <c r="O429" s="4"/>
      <c r="P429" s="4"/>
      <c r="Q429" s="4"/>
      <c r="R429" s="4"/>
      <c r="S429" s="4"/>
      <c r="T429" s="4"/>
      <c r="U429" s="4"/>
    </row>
    <row r="430" spans="1:21" ht="15.75" thickBot="1" x14ac:dyDescent="0.3">
      <c r="A430" s="8" t="s">
        <v>442</v>
      </c>
      <c r="B430" s="5">
        <v>325</v>
      </c>
      <c r="C430" s="14" t="s">
        <v>1236</v>
      </c>
      <c r="D430" s="5" t="s">
        <v>10</v>
      </c>
      <c r="E430" s="5" t="s">
        <v>11</v>
      </c>
      <c r="F430" s="5" t="s">
        <v>12</v>
      </c>
      <c r="G430" s="5">
        <v>103</v>
      </c>
      <c r="H430" s="5" t="s">
        <v>13</v>
      </c>
      <c r="I430" s="10" t="s">
        <v>443</v>
      </c>
      <c r="J430" s="4"/>
      <c r="K430" s="12">
        <f t="shared" ref="K430:K493" si="638">(C431-C430)*1000</f>
        <v>65.13880000000016</v>
      </c>
      <c r="L430" s="4"/>
      <c r="M430" s="12">
        <f t="shared" ref="M430:M493" si="639">K430-$L$2</f>
        <v>-48.475626499999848</v>
      </c>
      <c r="N430" s="12">
        <f t="shared" ref="N430" si="640">M430^2</f>
        <v>2349.8863645674874</v>
      </c>
      <c r="O430" s="4"/>
      <c r="P430" s="4"/>
      <c r="Q430" s="4"/>
      <c r="R430" s="4"/>
      <c r="S430" s="4"/>
      <c r="T430" s="4"/>
      <c r="U430" s="4"/>
    </row>
    <row r="431" spans="1:21" ht="15.75" thickBot="1" x14ac:dyDescent="0.3">
      <c r="A431" s="9"/>
      <c r="B431" s="6">
        <v>343</v>
      </c>
      <c r="C431" s="13" t="s">
        <v>1237</v>
      </c>
      <c r="D431" s="6" t="s">
        <v>10</v>
      </c>
      <c r="E431" s="6" t="s">
        <v>11</v>
      </c>
      <c r="F431" s="6" t="s">
        <v>15</v>
      </c>
      <c r="G431" s="6">
        <v>164</v>
      </c>
      <c r="H431" s="6" t="s">
        <v>16</v>
      </c>
      <c r="I431" s="11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</row>
    <row r="432" spans="1:21" ht="15.75" thickBot="1" x14ac:dyDescent="0.3">
      <c r="A432" s="8" t="s">
        <v>444</v>
      </c>
      <c r="B432" s="5">
        <v>269</v>
      </c>
      <c r="C432" s="14" t="s">
        <v>1238</v>
      </c>
      <c r="D432" s="5" t="s">
        <v>10</v>
      </c>
      <c r="E432" s="5" t="s">
        <v>11</v>
      </c>
      <c r="F432" s="5" t="s">
        <v>12</v>
      </c>
      <c r="G432" s="5">
        <v>103</v>
      </c>
      <c r="H432" s="5" t="s">
        <v>13</v>
      </c>
      <c r="I432" s="10" t="s">
        <v>445</v>
      </c>
      <c r="J432" s="4"/>
      <c r="K432" s="12">
        <f t="shared" ref="K432:K495" si="641">(C433-C432)*1000</f>
        <v>63.705200000000019</v>
      </c>
      <c r="L432" s="4"/>
      <c r="M432" s="12">
        <f t="shared" ref="M432:M495" si="642">K432-$L$2</f>
        <v>-49.909226499999988</v>
      </c>
      <c r="N432" s="12">
        <f t="shared" ref="N432" si="643">M432^2</f>
        <v>2490.9308898283011</v>
      </c>
      <c r="O432" s="4"/>
      <c r="P432" s="4"/>
      <c r="Q432" s="4"/>
      <c r="R432" s="4"/>
      <c r="S432" s="4"/>
      <c r="T432" s="4"/>
      <c r="U432" s="4"/>
    </row>
    <row r="433" spans="1:21" ht="15.75" thickBot="1" x14ac:dyDescent="0.3">
      <c r="A433" s="9"/>
      <c r="B433" s="6">
        <v>287</v>
      </c>
      <c r="C433" s="13" t="s">
        <v>1239</v>
      </c>
      <c r="D433" s="6" t="s">
        <v>10</v>
      </c>
      <c r="E433" s="6" t="s">
        <v>11</v>
      </c>
      <c r="F433" s="6" t="s">
        <v>15</v>
      </c>
      <c r="G433" s="6">
        <v>164</v>
      </c>
      <c r="H433" s="6" t="s">
        <v>16</v>
      </c>
      <c r="I433" s="11"/>
      <c r="J433" s="4"/>
      <c r="K433" s="12"/>
      <c r="L433" s="4"/>
      <c r="M433" s="4"/>
      <c r="N433" s="4"/>
      <c r="O433" s="4"/>
      <c r="P433" s="4"/>
      <c r="Q433" s="4"/>
      <c r="R433" s="4"/>
      <c r="S433" s="4"/>
      <c r="T433" s="4"/>
      <c r="U433" s="4"/>
    </row>
    <row r="434" spans="1:21" ht="15.75" thickBot="1" x14ac:dyDescent="0.3">
      <c r="A434" s="8" t="s">
        <v>446</v>
      </c>
      <c r="B434" s="5">
        <v>247</v>
      </c>
      <c r="C434" s="14" t="s">
        <v>1240</v>
      </c>
      <c r="D434" s="5" t="s">
        <v>10</v>
      </c>
      <c r="E434" s="5" t="s">
        <v>11</v>
      </c>
      <c r="F434" s="5" t="s">
        <v>12</v>
      </c>
      <c r="G434" s="5">
        <v>103</v>
      </c>
      <c r="H434" s="5" t="s">
        <v>13</v>
      </c>
      <c r="I434" s="10" t="s">
        <v>447</v>
      </c>
      <c r="J434" s="4"/>
      <c r="K434" s="12">
        <f t="shared" ref="K434:K497" si="644">(C435-C434)*1000</f>
        <v>65.612400000000008</v>
      </c>
      <c r="L434" s="4"/>
      <c r="M434" s="12">
        <f t="shared" ref="M434:M497" si="645">K434-$L$2</f>
        <v>-48.002026499999999</v>
      </c>
      <c r="N434" s="12">
        <f t="shared" ref="N434" si="646">M434^2</f>
        <v>2304.1945481067023</v>
      </c>
      <c r="O434" s="4"/>
      <c r="P434" s="4"/>
      <c r="Q434" s="4"/>
      <c r="R434" s="4"/>
      <c r="S434" s="4"/>
      <c r="T434" s="4"/>
      <c r="U434" s="4"/>
    </row>
    <row r="435" spans="1:21" ht="15.75" thickBot="1" x14ac:dyDescent="0.3">
      <c r="A435" s="9"/>
      <c r="B435" s="6">
        <v>268</v>
      </c>
      <c r="C435" s="13" t="s">
        <v>1241</v>
      </c>
      <c r="D435" s="6" t="s">
        <v>10</v>
      </c>
      <c r="E435" s="6" t="s">
        <v>11</v>
      </c>
      <c r="F435" s="6" t="s">
        <v>15</v>
      </c>
      <c r="G435" s="6">
        <v>164</v>
      </c>
      <c r="H435" s="6" t="s">
        <v>16</v>
      </c>
      <c r="I435" s="11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</row>
    <row r="436" spans="1:21" ht="15.75" thickBot="1" x14ac:dyDescent="0.3">
      <c r="A436" s="8" t="s">
        <v>448</v>
      </c>
      <c r="B436" s="5">
        <v>234</v>
      </c>
      <c r="C436" s="14" t="s">
        <v>1242</v>
      </c>
      <c r="D436" s="5" t="s">
        <v>10</v>
      </c>
      <c r="E436" s="5" t="s">
        <v>11</v>
      </c>
      <c r="F436" s="5" t="s">
        <v>12</v>
      </c>
      <c r="G436" s="5">
        <v>103</v>
      </c>
      <c r="H436" s="5" t="s">
        <v>13</v>
      </c>
      <c r="I436" s="10" t="s">
        <v>449</v>
      </c>
      <c r="J436" s="4"/>
      <c r="K436" s="12">
        <f t="shared" ref="K436:K499" si="647">(C437-C436)*1000</f>
        <v>51.41869999999993</v>
      </c>
      <c r="L436" s="4"/>
      <c r="M436" s="12">
        <f t="shared" ref="M436:M499" si="648">K436-$L$2</f>
        <v>-62.195726500000077</v>
      </c>
      <c r="N436" s="12">
        <f t="shared" ref="N436" si="649">M436^2</f>
        <v>3868.3083948628118</v>
      </c>
      <c r="O436" s="4"/>
      <c r="P436" s="4"/>
      <c r="Q436" s="4"/>
      <c r="R436" s="4"/>
      <c r="S436" s="4"/>
      <c r="T436" s="4"/>
      <c r="U436" s="4"/>
    </row>
    <row r="437" spans="1:21" ht="15.75" thickBot="1" x14ac:dyDescent="0.3">
      <c r="A437" s="9"/>
      <c r="B437" s="6">
        <v>244</v>
      </c>
      <c r="C437" s="13" t="s">
        <v>1243</v>
      </c>
      <c r="D437" s="6" t="s">
        <v>10</v>
      </c>
      <c r="E437" s="6" t="s">
        <v>11</v>
      </c>
      <c r="F437" s="6" t="s">
        <v>15</v>
      </c>
      <c r="G437" s="6">
        <v>164</v>
      </c>
      <c r="H437" s="6" t="s">
        <v>16</v>
      </c>
      <c r="I437" s="11"/>
      <c r="J437" s="4"/>
      <c r="K437" s="12"/>
      <c r="L437" s="4"/>
      <c r="M437" s="4"/>
      <c r="N437" s="4"/>
      <c r="O437" s="4"/>
      <c r="P437" s="4"/>
      <c r="Q437" s="4"/>
      <c r="R437" s="4"/>
      <c r="S437" s="4"/>
      <c r="T437" s="4"/>
      <c r="U437" s="4"/>
    </row>
    <row r="438" spans="1:21" ht="15.75" thickBot="1" x14ac:dyDescent="0.3">
      <c r="A438" s="8" t="s">
        <v>450</v>
      </c>
      <c r="B438" s="5">
        <v>166</v>
      </c>
      <c r="C438" s="14" t="s">
        <v>1244</v>
      </c>
      <c r="D438" s="5" t="s">
        <v>10</v>
      </c>
      <c r="E438" s="5" t="s">
        <v>11</v>
      </c>
      <c r="F438" s="5" t="s">
        <v>12</v>
      </c>
      <c r="G438" s="5">
        <v>103</v>
      </c>
      <c r="H438" s="5" t="s">
        <v>13</v>
      </c>
      <c r="I438" s="10" t="s">
        <v>451</v>
      </c>
      <c r="J438" s="4"/>
      <c r="K438" s="12">
        <f t="shared" ref="K438:K501" si="650">(C439-C438)*1000</f>
        <v>86.775599999999955</v>
      </c>
      <c r="L438" s="4"/>
      <c r="M438" s="12">
        <f t="shared" ref="M438:M501" si="651">K438-$L$2</f>
        <v>-26.838826500000053</v>
      </c>
      <c r="N438" s="12">
        <f t="shared" ref="N438" si="652">M438^2</f>
        <v>720.32260789710506</v>
      </c>
      <c r="O438" s="4"/>
      <c r="P438" s="4"/>
      <c r="Q438" s="4"/>
      <c r="R438" s="4"/>
      <c r="S438" s="4"/>
      <c r="T438" s="4"/>
      <c r="U438" s="4"/>
    </row>
    <row r="439" spans="1:21" ht="15.75" thickBot="1" x14ac:dyDescent="0.3">
      <c r="A439" s="9"/>
      <c r="B439" s="6">
        <v>187</v>
      </c>
      <c r="C439" s="13" t="s">
        <v>1245</v>
      </c>
      <c r="D439" s="6" t="s">
        <v>10</v>
      </c>
      <c r="E439" s="6" t="s">
        <v>11</v>
      </c>
      <c r="F439" s="6" t="s">
        <v>15</v>
      </c>
      <c r="G439" s="6">
        <v>164</v>
      </c>
      <c r="H439" s="6" t="s">
        <v>16</v>
      </c>
      <c r="I439" s="11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</row>
    <row r="440" spans="1:21" ht="15.75" thickBot="1" x14ac:dyDescent="0.3">
      <c r="A440" s="8" t="s">
        <v>452</v>
      </c>
      <c r="B440" s="5">
        <v>261</v>
      </c>
      <c r="C440" s="14" t="s">
        <v>1246</v>
      </c>
      <c r="D440" s="5" t="s">
        <v>10</v>
      </c>
      <c r="E440" s="5" t="s">
        <v>11</v>
      </c>
      <c r="F440" s="5" t="s">
        <v>12</v>
      </c>
      <c r="G440" s="5">
        <v>103</v>
      </c>
      <c r="H440" s="5" t="s">
        <v>13</v>
      </c>
      <c r="I440" s="10" t="s">
        <v>453</v>
      </c>
      <c r="J440" s="4"/>
      <c r="K440" s="12">
        <f t="shared" ref="K440:K503" si="653">(C441-C440)*1000</f>
        <v>99.422300000000078</v>
      </c>
      <c r="L440" s="4"/>
      <c r="M440" s="12">
        <f t="shared" ref="M440:M503" si="654">K440-$L$2</f>
        <v>-14.192126499999929</v>
      </c>
      <c r="N440" s="12">
        <f t="shared" ref="N440" si="655">M440^2</f>
        <v>201.41645459200024</v>
      </c>
      <c r="O440" s="4"/>
      <c r="P440" s="4"/>
      <c r="Q440" s="4"/>
      <c r="R440" s="4"/>
      <c r="S440" s="4"/>
      <c r="T440" s="4"/>
      <c r="U440" s="4"/>
    </row>
    <row r="441" spans="1:21" ht="15.75" thickBot="1" x14ac:dyDescent="0.3">
      <c r="A441" s="9"/>
      <c r="B441" s="6">
        <v>288</v>
      </c>
      <c r="C441" s="13" t="s">
        <v>1247</v>
      </c>
      <c r="D441" s="6" t="s">
        <v>10</v>
      </c>
      <c r="E441" s="6" t="s">
        <v>11</v>
      </c>
      <c r="F441" s="6" t="s">
        <v>15</v>
      </c>
      <c r="G441" s="6">
        <v>164</v>
      </c>
      <c r="H441" s="6" t="s">
        <v>16</v>
      </c>
      <c r="I441" s="11"/>
      <c r="J441" s="4"/>
      <c r="K441" s="12"/>
      <c r="L441" s="4"/>
      <c r="M441" s="4"/>
      <c r="N441" s="4"/>
      <c r="O441" s="4"/>
      <c r="P441" s="4"/>
      <c r="Q441" s="4"/>
      <c r="R441" s="4"/>
      <c r="S441" s="4"/>
      <c r="T441" s="4"/>
      <c r="U441" s="4"/>
    </row>
    <row r="442" spans="1:21" ht="15.75" thickBot="1" x14ac:dyDescent="0.3">
      <c r="A442" s="8" t="s">
        <v>454</v>
      </c>
      <c r="B442" s="5">
        <v>271</v>
      </c>
      <c r="C442" s="14" t="s">
        <v>1248</v>
      </c>
      <c r="D442" s="5" t="s">
        <v>10</v>
      </c>
      <c r="E442" s="5" t="s">
        <v>11</v>
      </c>
      <c r="F442" s="5" t="s">
        <v>12</v>
      </c>
      <c r="G442" s="5">
        <v>103</v>
      </c>
      <c r="H442" s="5" t="s">
        <v>13</v>
      </c>
      <c r="I442" s="10" t="s">
        <v>455</v>
      </c>
      <c r="J442" s="4"/>
      <c r="K442" s="12">
        <f t="shared" ref="K442:K505" si="656">(C443-C442)*1000</f>
        <v>73.136300000000048</v>
      </c>
      <c r="L442" s="4"/>
      <c r="M442" s="12">
        <f t="shared" ref="M442:M505" si="657">K442-$L$2</f>
        <v>-40.478126499999959</v>
      </c>
      <c r="N442" s="12">
        <f t="shared" ref="N442" si="658">M442^2</f>
        <v>1638.4787249499989</v>
      </c>
      <c r="O442" s="4"/>
      <c r="P442" s="4"/>
      <c r="Q442" s="4"/>
      <c r="R442" s="4"/>
      <c r="S442" s="4"/>
      <c r="T442" s="4"/>
      <c r="U442" s="4"/>
    </row>
    <row r="443" spans="1:21" ht="15.75" thickBot="1" x14ac:dyDescent="0.3">
      <c r="A443" s="9"/>
      <c r="B443" s="6">
        <v>285</v>
      </c>
      <c r="C443" s="13" t="s">
        <v>1249</v>
      </c>
      <c r="D443" s="6" t="s">
        <v>10</v>
      </c>
      <c r="E443" s="6" t="s">
        <v>11</v>
      </c>
      <c r="F443" s="6" t="s">
        <v>15</v>
      </c>
      <c r="G443" s="6">
        <v>164</v>
      </c>
      <c r="H443" s="6" t="s">
        <v>16</v>
      </c>
      <c r="I443" s="11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</row>
    <row r="444" spans="1:21" ht="15.75" thickBot="1" x14ac:dyDescent="0.3">
      <c r="A444" s="8" t="s">
        <v>456</v>
      </c>
      <c r="B444" s="5">
        <v>251</v>
      </c>
      <c r="C444" s="14" t="s">
        <v>1250</v>
      </c>
      <c r="D444" s="5" t="s">
        <v>10</v>
      </c>
      <c r="E444" s="5" t="s">
        <v>11</v>
      </c>
      <c r="F444" s="5" t="s">
        <v>12</v>
      </c>
      <c r="G444" s="5">
        <v>103</v>
      </c>
      <c r="H444" s="5" t="s">
        <v>13</v>
      </c>
      <c r="I444" s="10" t="s">
        <v>457</v>
      </c>
      <c r="J444" s="4"/>
      <c r="K444" s="12">
        <f t="shared" ref="K444:K507" si="659">(C445-C444)*1000</f>
        <v>68.768500000000017</v>
      </c>
      <c r="L444" s="4"/>
      <c r="M444" s="12">
        <f t="shared" ref="M444:M507" si="660">K444-$L$2</f>
        <v>-44.84592649999999</v>
      </c>
      <c r="N444" s="12">
        <f t="shared" ref="N444" si="661">M444^2</f>
        <v>2011.1571236434013</v>
      </c>
      <c r="O444" s="4"/>
      <c r="P444" s="4"/>
      <c r="Q444" s="4"/>
      <c r="R444" s="4"/>
      <c r="S444" s="4"/>
      <c r="T444" s="4"/>
      <c r="U444" s="4"/>
    </row>
    <row r="445" spans="1:21" ht="15.75" thickBot="1" x14ac:dyDescent="0.3">
      <c r="A445" s="9"/>
      <c r="B445" s="6">
        <v>277</v>
      </c>
      <c r="C445" s="13" t="s">
        <v>1251</v>
      </c>
      <c r="D445" s="6" t="s">
        <v>10</v>
      </c>
      <c r="E445" s="6" t="s">
        <v>11</v>
      </c>
      <c r="F445" s="6" t="s">
        <v>15</v>
      </c>
      <c r="G445" s="6">
        <v>164</v>
      </c>
      <c r="H445" s="6" t="s">
        <v>16</v>
      </c>
      <c r="I445" s="11"/>
      <c r="J445" s="4"/>
      <c r="K445" s="12"/>
      <c r="L445" s="4"/>
      <c r="M445" s="4"/>
      <c r="N445" s="4"/>
      <c r="O445" s="4"/>
      <c r="P445" s="4"/>
      <c r="Q445" s="4"/>
      <c r="R445" s="4"/>
      <c r="S445" s="4"/>
      <c r="T445" s="4"/>
      <c r="U445" s="4"/>
    </row>
    <row r="446" spans="1:21" ht="15.75" thickBot="1" x14ac:dyDescent="0.3">
      <c r="A446" s="8" t="s">
        <v>458</v>
      </c>
      <c r="B446" s="5">
        <v>239</v>
      </c>
      <c r="C446" s="14" t="s">
        <v>1252</v>
      </c>
      <c r="D446" s="5" t="s">
        <v>10</v>
      </c>
      <c r="E446" s="5" t="s">
        <v>11</v>
      </c>
      <c r="F446" s="5" t="s">
        <v>12</v>
      </c>
      <c r="G446" s="5">
        <v>103</v>
      </c>
      <c r="H446" s="5" t="s">
        <v>13</v>
      </c>
      <c r="I446" s="10" t="s">
        <v>459</v>
      </c>
      <c r="J446" s="4"/>
      <c r="K446" s="12">
        <f t="shared" ref="K446:K509" si="662">(C447-C446)*1000</f>
        <v>97.267100000000056</v>
      </c>
      <c r="L446" s="4"/>
      <c r="M446" s="12">
        <f t="shared" ref="M446:M509" si="663">K446-$L$2</f>
        <v>-16.347326499999951</v>
      </c>
      <c r="N446" s="12">
        <f t="shared" ref="N446" si="664">M446^2</f>
        <v>267.23508369760066</v>
      </c>
      <c r="O446" s="4"/>
      <c r="P446" s="4"/>
      <c r="Q446" s="4"/>
      <c r="R446" s="4"/>
      <c r="S446" s="4"/>
      <c r="T446" s="4"/>
      <c r="U446" s="4"/>
    </row>
    <row r="447" spans="1:21" ht="15.75" thickBot="1" x14ac:dyDescent="0.3">
      <c r="A447" s="9"/>
      <c r="B447" s="6">
        <v>263</v>
      </c>
      <c r="C447" s="13" t="s">
        <v>1253</v>
      </c>
      <c r="D447" s="6" t="s">
        <v>10</v>
      </c>
      <c r="E447" s="6" t="s">
        <v>11</v>
      </c>
      <c r="F447" s="6" t="s">
        <v>15</v>
      </c>
      <c r="G447" s="6">
        <v>164</v>
      </c>
      <c r="H447" s="6" t="s">
        <v>16</v>
      </c>
      <c r="I447" s="11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</row>
    <row r="448" spans="1:21" ht="15.75" thickBot="1" x14ac:dyDescent="0.3">
      <c r="A448" s="8" t="s">
        <v>460</v>
      </c>
      <c r="B448" s="5">
        <v>213</v>
      </c>
      <c r="C448" s="14" t="s">
        <v>1254</v>
      </c>
      <c r="D448" s="5" t="s">
        <v>10</v>
      </c>
      <c r="E448" s="5" t="s">
        <v>11</v>
      </c>
      <c r="F448" s="5" t="s">
        <v>12</v>
      </c>
      <c r="G448" s="5">
        <v>103</v>
      </c>
      <c r="H448" s="5" t="s">
        <v>13</v>
      </c>
      <c r="I448" s="10" t="s">
        <v>461</v>
      </c>
      <c r="J448" s="4"/>
      <c r="K448" s="12">
        <f t="shared" ref="K448:K511" si="665">(C449-C448)*1000</f>
        <v>48.615000000000073</v>
      </c>
      <c r="L448" s="4"/>
      <c r="M448" s="12">
        <f t="shared" ref="M448:M511" si="666">K448-$L$2</f>
        <v>-64.999426499999942</v>
      </c>
      <c r="N448" s="12">
        <f t="shared" ref="N448" si="667">M448^2</f>
        <v>4224.925445328895</v>
      </c>
      <c r="O448" s="4"/>
      <c r="P448" s="4"/>
      <c r="Q448" s="4"/>
      <c r="R448" s="4"/>
      <c r="S448" s="4"/>
      <c r="T448" s="4"/>
      <c r="U448" s="4"/>
    </row>
    <row r="449" spans="1:21" ht="15.75" thickBot="1" x14ac:dyDescent="0.3">
      <c r="A449" s="9"/>
      <c r="B449" s="6">
        <v>225</v>
      </c>
      <c r="C449" s="13" t="s">
        <v>1255</v>
      </c>
      <c r="D449" s="6" t="s">
        <v>10</v>
      </c>
      <c r="E449" s="6" t="s">
        <v>11</v>
      </c>
      <c r="F449" s="6" t="s">
        <v>15</v>
      </c>
      <c r="G449" s="6">
        <v>164</v>
      </c>
      <c r="H449" s="6" t="s">
        <v>16</v>
      </c>
      <c r="I449" s="11"/>
      <c r="J449" s="4"/>
      <c r="K449" s="12"/>
      <c r="L449" s="4"/>
      <c r="M449" s="4"/>
      <c r="N449" s="4"/>
      <c r="O449" s="4"/>
      <c r="P449" s="4"/>
      <c r="Q449" s="4"/>
      <c r="R449" s="4"/>
      <c r="S449" s="4"/>
      <c r="T449" s="4"/>
      <c r="U449" s="4"/>
    </row>
    <row r="450" spans="1:21" ht="15.75" thickBot="1" x14ac:dyDescent="0.3">
      <c r="A450" s="8" t="s">
        <v>462</v>
      </c>
      <c r="B450" s="5">
        <v>222</v>
      </c>
      <c r="C450" s="14" t="s">
        <v>1256</v>
      </c>
      <c r="D450" s="5" t="s">
        <v>10</v>
      </c>
      <c r="E450" s="5" t="s">
        <v>11</v>
      </c>
      <c r="F450" s="5" t="s">
        <v>12</v>
      </c>
      <c r="G450" s="5">
        <v>103</v>
      </c>
      <c r="H450" s="5" t="s">
        <v>13</v>
      </c>
      <c r="I450" s="10" t="s">
        <v>463</v>
      </c>
      <c r="J450" s="4"/>
      <c r="K450" s="12">
        <f t="shared" ref="K450:K513" si="668">(C451-C450)*1000</f>
        <v>120.77749999999997</v>
      </c>
      <c r="L450" s="4"/>
      <c r="M450" s="12">
        <f t="shared" ref="M450:M513" si="669">K450-$L$2</f>
        <v>7.1630734999999675</v>
      </c>
      <c r="N450" s="12">
        <f t="shared" ref="N450" si="670">M450^2</f>
        <v>51.309621966401785</v>
      </c>
      <c r="O450" s="4"/>
      <c r="P450" s="4"/>
      <c r="Q450" s="4"/>
      <c r="R450" s="4"/>
      <c r="S450" s="4"/>
      <c r="T450" s="4"/>
      <c r="U450" s="4"/>
    </row>
    <row r="451" spans="1:21" ht="15.75" thickBot="1" x14ac:dyDescent="0.3">
      <c r="A451" s="9"/>
      <c r="B451" s="6">
        <v>251</v>
      </c>
      <c r="C451" s="13" t="s">
        <v>1257</v>
      </c>
      <c r="D451" s="6" t="s">
        <v>10</v>
      </c>
      <c r="E451" s="6" t="s">
        <v>11</v>
      </c>
      <c r="F451" s="6" t="s">
        <v>15</v>
      </c>
      <c r="G451" s="6">
        <v>164</v>
      </c>
      <c r="H451" s="6" t="s">
        <v>16</v>
      </c>
      <c r="I451" s="11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</row>
    <row r="452" spans="1:21" ht="15.75" thickBot="1" x14ac:dyDescent="0.3">
      <c r="A452" s="8" t="s">
        <v>464</v>
      </c>
      <c r="B452" s="5">
        <v>340</v>
      </c>
      <c r="C452" s="14" t="s">
        <v>1258</v>
      </c>
      <c r="D452" s="5" t="s">
        <v>10</v>
      </c>
      <c r="E452" s="5" t="s">
        <v>11</v>
      </c>
      <c r="F452" s="5" t="s">
        <v>12</v>
      </c>
      <c r="G452" s="5">
        <v>103</v>
      </c>
      <c r="H452" s="5" t="s">
        <v>13</v>
      </c>
      <c r="I452" s="10" t="s">
        <v>465</v>
      </c>
      <c r="J452" s="4"/>
      <c r="K452" s="12">
        <f t="shared" ref="K452:K515" si="671">(C453-C452)*1000</f>
        <v>65.516399999999919</v>
      </c>
      <c r="L452" s="4"/>
      <c r="M452" s="12">
        <f t="shared" ref="M452:M515" si="672">K452-$L$2</f>
        <v>-48.098026500000088</v>
      </c>
      <c r="N452" s="12">
        <f t="shared" ref="N452" si="673">M452^2</f>
        <v>2313.4201531947106</v>
      </c>
      <c r="O452" s="4"/>
      <c r="P452" s="4"/>
      <c r="Q452" s="4"/>
      <c r="R452" s="4"/>
      <c r="S452" s="4"/>
      <c r="T452" s="4"/>
      <c r="U452" s="4"/>
    </row>
    <row r="453" spans="1:21" ht="15.75" thickBot="1" x14ac:dyDescent="0.3">
      <c r="A453" s="9"/>
      <c r="B453" s="6">
        <v>354</v>
      </c>
      <c r="C453" s="13" t="s">
        <v>1259</v>
      </c>
      <c r="D453" s="6" t="s">
        <v>10</v>
      </c>
      <c r="E453" s="6" t="s">
        <v>11</v>
      </c>
      <c r="F453" s="6" t="s">
        <v>15</v>
      </c>
      <c r="G453" s="6">
        <v>164</v>
      </c>
      <c r="H453" s="6" t="s">
        <v>16</v>
      </c>
      <c r="I453" s="11"/>
      <c r="J453" s="4"/>
      <c r="K453" s="12"/>
      <c r="L453" s="4"/>
      <c r="M453" s="4"/>
      <c r="N453" s="4"/>
      <c r="O453" s="4"/>
      <c r="P453" s="4"/>
      <c r="Q453" s="4"/>
      <c r="R453" s="4"/>
      <c r="S453" s="4"/>
      <c r="T453" s="4"/>
      <c r="U453" s="4"/>
    </row>
    <row r="454" spans="1:21" ht="15.75" thickBot="1" x14ac:dyDescent="0.3">
      <c r="A454" s="8" t="s">
        <v>466</v>
      </c>
      <c r="B454" s="5">
        <v>226</v>
      </c>
      <c r="C454" s="14" t="s">
        <v>1260</v>
      </c>
      <c r="D454" s="5" t="s">
        <v>10</v>
      </c>
      <c r="E454" s="5" t="s">
        <v>11</v>
      </c>
      <c r="F454" s="5" t="s">
        <v>12</v>
      </c>
      <c r="G454" s="5">
        <v>103</v>
      </c>
      <c r="H454" s="5" t="s">
        <v>13</v>
      </c>
      <c r="I454" s="10" t="s">
        <v>467</v>
      </c>
      <c r="J454" s="4"/>
      <c r="K454" s="12">
        <f t="shared" ref="K454:K517" si="674">(C455-C454)*1000</f>
        <v>141.65610000000007</v>
      </c>
      <c r="L454" s="4"/>
      <c r="M454" s="12">
        <f t="shared" ref="M454:M517" si="675">K454-$L$2</f>
        <v>28.041673500000059</v>
      </c>
      <c r="N454" s="12">
        <f t="shared" ref="N454" si="676">M454^2</f>
        <v>786.3354526806055</v>
      </c>
      <c r="O454" s="4"/>
      <c r="P454" s="4"/>
      <c r="Q454" s="4"/>
      <c r="R454" s="4"/>
      <c r="S454" s="4"/>
      <c r="T454" s="4"/>
      <c r="U454" s="4"/>
    </row>
    <row r="455" spans="1:21" ht="15.75" thickBot="1" x14ac:dyDescent="0.3">
      <c r="A455" s="9"/>
      <c r="B455" s="6">
        <v>255</v>
      </c>
      <c r="C455" s="13" t="s">
        <v>1261</v>
      </c>
      <c r="D455" s="6" t="s">
        <v>10</v>
      </c>
      <c r="E455" s="6" t="s">
        <v>11</v>
      </c>
      <c r="F455" s="6" t="s">
        <v>15</v>
      </c>
      <c r="G455" s="6">
        <v>164</v>
      </c>
      <c r="H455" s="6" t="s">
        <v>16</v>
      </c>
      <c r="I455" s="11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</row>
    <row r="456" spans="1:21" ht="15.75" thickBot="1" x14ac:dyDescent="0.3">
      <c r="A456" s="8" t="s">
        <v>468</v>
      </c>
      <c r="B456" s="5">
        <v>241</v>
      </c>
      <c r="C456" s="14" t="s">
        <v>1262</v>
      </c>
      <c r="D456" s="5" t="s">
        <v>10</v>
      </c>
      <c r="E456" s="5" t="s">
        <v>11</v>
      </c>
      <c r="F456" s="5" t="s">
        <v>12</v>
      </c>
      <c r="G456" s="5">
        <v>103</v>
      </c>
      <c r="H456" s="5" t="s">
        <v>13</v>
      </c>
      <c r="I456" s="10" t="s">
        <v>469</v>
      </c>
      <c r="J456" s="4"/>
      <c r="K456" s="12">
        <f t="shared" ref="K456:K519" si="677">(C457-C456)*1000</f>
        <v>533.39210000000014</v>
      </c>
      <c r="L456" s="4"/>
      <c r="M456" s="12">
        <f t="shared" ref="M456:M519" si="678">K456-$L$2</f>
        <v>419.77767350000011</v>
      </c>
      <c r="N456" s="12">
        <f t="shared" ref="N456" si="679">M456^2</f>
        <v>176213.29516907269</v>
      </c>
      <c r="O456" s="4"/>
      <c r="P456" s="4"/>
      <c r="Q456" s="4"/>
      <c r="R456" s="4"/>
      <c r="S456" s="4"/>
      <c r="T456" s="4"/>
      <c r="U456" s="4"/>
    </row>
    <row r="457" spans="1:21" ht="15.75" thickBot="1" x14ac:dyDescent="0.3">
      <c r="A457" s="9"/>
      <c r="B457" s="6">
        <v>252</v>
      </c>
      <c r="C457" s="13" t="s">
        <v>1263</v>
      </c>
      <c r="D457" s="6" t="s">
        <v>10</v>
      </c>
      <c r="E457" s="6" t="s">
        <v>11</v>
      </c>
      <c r="F457" s="6" t="s">
        <v>15</v>
      </c>
      <c r="G457" s="6">
        <v>164</v>
      </c>
      <c r="H457" s="6" t="s">
        <v>16</v>
      </c>
      <c r="I457" s="11"/>
      <c r="J457" s="4"/>
      <c r="K457" s="12"/>
      <c r="L457" s="4"/>
      <c r="M457" s="4"/>
      <c r="N457" s="4"/>
      <c r="O457" s="4"/>
      <c r="P457" s="4"/>
      <c r="Q457" s="4"/>
      <c r="R457" s="4"/>
      <c r="S457" s="4"/>
      <c r="T457" s="4"/>
      <c r="U457" s="4"/>
    </row>
    <row r="458" spans="1:21" ht="15.75" thickBot="1" x14ac:dyDescent="0.3">
      <c r="A458" s="8" t="s">
        <v>470</v>
      </c>
      <c r="B458" s="5">
        <v>289</v>
      </c>
      <c r="C458" s="14" t="s">
        <v>1264</v>
      </c>
      <c r="D458" s="5" t="s">
        <v>10</v>
      </c>
      <c r="E458" s="5" t="s">
        <v>11</v>
      </c>
      <c r="F458" s="5" t="s">
        <v>12</v>
      </c>
      <c r="G458" s="5">
        <v>103</v>
      </c>
      <c r="H458" s="5" t="s">
        <v>13</v>
      </c>
      <c r="I458" s="10" t="s">
        <v>471</v>
      </c>
      <c r="J458" s="4"/>
      <c r="K458" s="12">
        <f t="shared" ref="K458:K521" si="680">(C459-C458)*1000</f>
        <v>96.177399999999963</v>
      </c>
      <c r="L458" s="4"/>
      <c r="M458" s="12">
        <f t="shared" ref="M458:M521" si="681">K458-$L$2</f>
        <v>-17.437026500000044</v>
      </c>
      <c r="N458" s="12">
        <f t="shared" ref="N458" si="682">M458^2</f>
        <v>304.04989316170378</v>
      </c>
      <c r="O458" s="4"/>
      <c r="P458" s="4"/>
      <c r="Q458" s="4"/>
      <c r="R458" s="4"/>
      <c r="S458" s="4"/>
      <c r="T458" s="4"/>
      <c r="U458" s="4"/>
    </row>
    <row r="459" spans="1:21" ht="15.75" thickBot="1" x14ac:dyDescent="0.3">
      <c r="A459" s="9"/>
      <c r="B459" s="6">
        <v>310</v>
      </c>
      <c r="C459" s="13" t="s">
        <v>1265</v>
      </c>
      <c r="D459" s="6" t="s">
        <v>10</v>
      </c>
      <c r="E459" s="6" t="s">
        <v>11</v>
      </c>
      <c r="F459" s="6" t="s">
        <v>15</v>
      </c>
      <c r="G459" s="6">
        <v>164</v>
      </c>
      <c r="H459" s="6" t="s">
        <v>16</v>
      </c>
      <c r="I459" s="11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</row>
    <row r="460" spans="1:21" ht="15.75" thickBot="1" x14ac:dyDescent="0.3">
      <c r="A460" s="8" t="s">
        <v>472</v>
      </c>
      <c r="B460" s="5">
        <v>264</v>
      </c>
      <c r="C460" s="14" t="s">
        <v>1266</v>
      </c>
      <c r="D460" s="5" t="s">
        <v>10</v>
      </c>
      <c r="E460" s="5" t="s">
        <v>11</v>
      </c>
      <c r="F460" s="5" t="s">
        <v>12</v>
      </c>
      <c r="G460" s="5">
        <v>103</v>
      </c>
      <c r="H460" s="5" t="s">
        <v>13</v>
      </c>
      <c r="I460" s="10" t="s">
        <v>473</v>
      </c>
      <c r="J460" s="4"/>
      <c r="K460" s="12">
        <f t="shared" ref="K460:K523" si="683">(C461-C460)*1000</f>
        <v>44.592299999999916</v>
      </c>
      <c r="L460" s="4"/>
      <c r="M460" s="12">
        <f t="shared" ref="M460:M523" si="684">K460-$L$2</f>
        <v>-69.022126500000098</v>
      </c>
      <c r="N460" s="12">
        <f t="shared" ref="N460" si="685">M460^2</f>
        <v>4764.0539465820157</v>
      </c>
      <c r="O460" s="4"/>
      <c r="P460" s="4"/>
      <c r="Q460" s="4"/>
      <c r="R460" s="4"/>
      <c r="S460" s="4"/>
      <c r="T460" s="4"/>
      <c r="U460" s="4"/>
    </row>
    <row r="461" spans="1:21" ht="15.75" thickBot="1" x14ac:dyDescent="0.3">
      <c r="A461" s="9"/>
      <c r="B461" s="6">
        <v>274</v>
      </c>
      <c r="C461" s="13" t="s">
        <v>1267</v>
      </c>
      <c r="D461" s="6" t="s">
        <v>10</v>
      </c>
      <c r="E461" s="6" t="s">
        <v>11</v>
      </c>
      <c r="F461" s="6" t="s">
        <v>15</v>
      </c>
      <c r="G461" s="6">
        <v>164</v>
      </c>
      <c r="H461" s="6" t="s">
        <v>16</v>
      </c>
      <c r="I461" s="11"/>
      <c r="J461" s="4"/>
      <c r="K461" s="12"/>
      <c r="L461" s="4"/>
      <c r="M461" s="4"/>
      <c r="N461" s="4"/>
      <c r="O461" s="4"/>
      <c r="P461" s="4"/>
      <c r="Q461" s="4"/>
      <c r="R461" s="4"/>
      <c r="S461" s="4"/>
      <c r="T461" s="4"/>
      <c r="U461" s="4"/>
    </row>
    <row r="462" spans="1:21" ht="15.75" thickBot="1" x14ac:dyDescent="0.3">
      <c r="A462" s="8" t="s">
        <v>474</v>
      </c>
      <c r="B462" s="5">
        <v>215</v>
      </c>
      <c r="C462" s="14" t="s">
        <v>1268</v>
      </c>
      <c r="D462" s="5" t="s">
        <v>10</v>
      </c>
      <c r="E462" s="5" t="s">
        <v>11</v>
      </c>
      <c r="F462" s="5" t="s">
        <v>12</v>
      </c>
      <c r="G462" s="5">
        <v>103</v>
      </c>
      <c r="H462" s="5" t="s">
        <v>13</v>
      </c>
      <c r="I462" s="10" t="s">
        <v>475</v>
      </c>
      <c r="J462" s="4"/>
      <c r="K462" s="12">
        <f t="shared" ref="K462:K525" si="686">(C463-C462)*1000</f>
        <v>68.743500000000068</v>
      </c>
      <c r="L462" s="4"/>
      <c r="M462" s="12">
        <f t="shared" ref="M462:M525" si="687">K462-$L$2</f>
        <v>-44.870926499999939</v>
      </c>
      <c r="N462" s="12">
        <f t="shared" ref="N462" si="688">M462^2</f>
        <v>2013.4000449683967</v>
      </c>
      <c r="O462" s="4"/>
      <c r="P462" s="4"/>
      <c r="Q462" s="4"/>
      <c r="R462" s="4"/>
      <c r="S462" s="4"/>
      <c r="T462" s="4"/>
      <c r="U462" s="4"/>
    </row>
    <row r="463" spans="1:21" ht="15.75" thickBot="1" x14ac:dyDescent="0.3">
      <c r="A463" s="9"/>
      <c r="B463" s="6">
        <v>238</v>
      </c>
      <c r="C463" s="13" t="s">
        <v>1269</v>
      </c>
      <c r="D463" s="6" t="s">
        <v>10</v>
      </c>
      <c r="E463" s="6" t="s">
        <v>11</v>
      </c>
      <c r="F463" s="6" t="s">
        <v>15</v>
      </c>
      <c r="G463" s="6">
        <v>164</v>
      </c>
      <c r="H463" s="6" t="s">
        <v>16</v>
      </c>
      <c r="I463" s="11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</row>
    <row r="464" spans="1:21" ht="15.75" thickBot="1" x14ac:dyDescent="0.3">
      <c r="A464" s="8" t="s">
        <v>476</v>
      </c>
      <c r="B464" s="5">
        <v>291</v>
      </c>
      <c r="C464" s="14" t="s">
        <v>1270</v>
      </c>
      <c r="D464" s="5" t="s">
        <v>10</v>
      </c>
      <c r="E464" s="5" t="s">
        <v>11</v>
      </c>
      <c r="F464" s="5" t="s">
        <v>12</v>
      </c>
      <c r="G464" s="5">
        <v>103</v>
      </c>
      <c r="H464" s="5" t="s">
        <v>13</v>
      </c>
      <c r="I464" s="10" t="s">
        <v>477</v>
      </c>
      <c r="J464" s="4"/>
      <c r="K464" s="12">
        <f t="shared" ref="K464:K527" si="689">(C465-C464)*1000</f>
        <v>62.039600000000085</v>
      </c>
      <c r="L464" s="4"/>
      <c r="M464" s="12">
        <f t="shared" ref="M464:M527" si="690">K464-$L$2</f>
        <v>-51.574826499999922</v>
      </c>
      <c r="N464" s="12">
        <f t="shared" ref="N464" si="691">M464^2</f>
        <v>2659.9627285050942</v>
      </c>
      <c r="O464" s="4"/>
      <c r="P464" s="4"/>
      <c r="Q464" s="4"/>
      <c r="R464" s="4"/>
      <c r="S464" s="4"/>
      <c r="T464" s="4"/>
      <c r="U464" s="4"/>
    </row>
    <row r="465" spans="1:21" ht="15.75" thickBot="1" x14ac:dyDescent="0.3">
      <c r="A465" s="9"/>
      <c r="B465" s="6">
        <v>315</v>
      </c>
      <c r="C465" s="13" t="s">
        <v>1271</v>
      </c>
      <c r="D465" s="6" t="s">
        <v>10</v>
      </c>
      <c r="E465" s="6" t="s">
        <v>11</v>
      </c>
      <c r="F465" s="6" t="s">
        <v>15</v>
      </c>
      <c r="G465" s="6">
        <v>164</v>
      </c>
      <c r="H465" s="6" t="s">
        <v>16</v>
      </c>
      <c r="I465" s="11"/>
      <c r="J465" s="4"/>
      <c r="K465" s="12"/>
      <c r="L465" s="4"/>
      <c r="M465" s="4"/>
      <c r="N465" s="4"/>
      <c r="O465" s="4"/>
      <c r="P465" s="4"/>
      <c r="Q465" s="4"/>
      <c r="R465" s="4"/>
      <c r="S465" s="4"/>
      <c r="T465" s="4"/>
      <c r="U465" s="4"/>
    </row>
    <row r="466" spans="1:21" ht="15.75" thickBot="1" x14ac:dyDescent="0.3">
      <c r="A466" s="8" t="s">
        <v>478</v>
      </c>
      <c r="B466" s="5">
        <v>256</v>
      </c>
      <c r="C466" s="14" t="s">
        <v>1272</v>
      </c>
      <c r="D466" s="5" t="s">
        <v>10</v>
      </c>
      <c r="E466" s="5" t="s">
        <v>11</v>
      </c>
      <c r="F466" s="5" t="s">
        <v>12</v>
      </c>
      <c r="G466" s="5">
        <v>103</v>
      </c>
      <c r="H466" s="5" t="s">
        <v>13</v>
      </c>
      <c r="I466" s="10" t="s">
        <v>479</v>
      </c>
      <c r="J466" s="4"/>
      <c r="K466" s="12">
        <f t="shared" ref="K466:K529" si="692">(C467-C466)*1000</f>
        <v>72.84790000000018</v>
      </c>
      <c r="L466" s="4"/>
      <c r="M466" s="12">
        <f t="shared" ref="M466:M529" si="693">K466-$L$2</f>
        <v>-40.766526499999827</v>
      </c>
      <c r="N466" s="12">
        <f t="shared" ref="N466" si="694">M466^2</f>
        <v>1661.9096828751881</v>
      </c>
      <c r="O466" s="4"/>
      <c r="P466" s="4"/>
      <c r="Q466" s="4"/>
      <c r="R466" s="4"/>
      <c r="S466" s="4"/>
      <c r="T466" s="4"/>
      <c r="U466" s="4"/>
    </row>
    <row r="467" spans="1:21" ht="15.75" thickBot="1" x14ac:dyDescent="0.3">
      <c r="A467" s="9"/>
      <c r="B467" s="6">
        <v>274</v>
      </c>
      <c r="C467" s="13" t="s">
        <v>1273</v>
      </c>
      <c r="D467" s="6" t="s">
        <v>10</v>
      </c>
      <c r="E467" s="6" t="s">
        <v>11</v>
      </c>
      <c r="F467" s="6" t="s">
        <v>15</v>
      </c>
      <c r="G467" s="6">
        <v>164</v>
      </c>
      <c r="H467" s="6" t="s">
        <v>16</v>
      </c>
      <c r="I467" s="11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</row>
    <row r="468" spans="1:21" ht="15.75" thickBot="1" x14ac:dyDescent="0.3">
      <c r="A468" s="8" t="s">
        <v>480</v>
      </c>
      <c r="B468" s="5">
        <v>252</v>
      </c>
      <c r="C468" s="14" t="s">
        <v>1274</v>
      </c>
      <c r="D468" s="5" t="s">
        <v>10</v>
      </c>
      <c r="E468" s="5" t="s">
        <v>11</v>
      </c>
      <c r="F468" s="5" t="s">
        <v>12</v>
      </c>
      <c r="G468" s="5">
        <v>103</v>
      </c>
      <c r="H468" s="5" t="s">
        <v>13</v>
      </c>
      <c r="I468" s="10" t="s">
        <v>481</v>
      </c>
      <c r="J468" s="4"/>
      <c r="K468" s="12">
        <f t="shared" ref="K468:K531" si="695">(C469-C468)*1000</f>
        <v>157.42269999999991</v>
      </c>
      <c r="L468" s="4"/>
      <c r="M468" s="12">
        <f t="shared" ref="M468:M531" si="696">K468-$L$2</f>
        <v>43.808273499999899</v>
      </c>
      <c r="N468" s="12">
        <f t="shared" ref="N468" si="697">M468^2</f>
        <v>1919.1648270507935</v>
      </c>
      <c r="O468" s="4"/>
      <c r="P468" s="4"/>
      <c r="Q468" s="4"/>
      <c r="R468" s="4"/>
      <c r="S468" s="4"/>
      <c r="T468" s="4"/>
      <c r="U468" s="4"/>
    </row>
    <row r="469" spans="1:21" ht="15.75" thickBot="1" x14ac:dyDescent="0.3">
      <c r="A469" s="9"/>
      <c r="B469" s="6">
        <v>298</v>
      </c>
      <c r="C469" s="13" t="s">
        <v>1275</v>
      </c>
      <c r="D469" s="6" t="s">
        <v>10</v>
      </c>
      <c r="E469" s="6" t="s">
        <v>11</v>
      </c>
      <c r="F469" s="6" t="s">
        <v>15</v>
      </c>
      <c r="G469" s="6">
        <v>164</v>
      </c>
      <c r="H469" s="6" t="s">
        <v>16</v>
      </c>
      <c r="I469" s="11"/>
      <c r="J469" s="4"/>
      <c r="K469" s="12"/>
      <c r="L469" s="4"/>
      <c r="M469" s="4"/>
      <c r="N469" s="4"/>
      <c r="O469" s="4"/>
      <c r="P469" s="4"/>
      <c r="Q469" s="4"/>
      <c r="R469" s="4"/>
      <c r="S469" s="4"/>
      <c r="T469" s="4"/>
      <c r="U469" s="4"/>
    </row>
    <row r="470" spans="1:21" ht="15.75" thickBot="1" x14ac:dyDescent="0.3">
      <c r="A470" s="8" t="s">
        <v>482</v>
      </c>
      <c r="B470" s="5">
        <v>199</v>
      </c>
      <c r="C470" s="14" t="s">
        <v>1276</v>
      </c>
      <c r="D470" s="5" t="s">
        <v>10</v>
      </c>
      <c r="E470" s="5" t="s">
        <v>11</v>
      </c>
      <c r="F470" s="5" t="s">
        <v>12</v>
      </c>
      <c r="G470" s="5">
        <v>103</v>
      </c>
      <c r="H470" s="5" t="s">
        <v>13</v>
      </c>
      <c r="I470" s="10" t="s">
        <v>483</v>
      </c>
      <c r="J470" s="4"/>
      <c r="K470" s="12">
        <f t="shared" ref="K470:K533" si="698">(C471-C470)*1000</f>
        <v>185.22620000000001</v>
      </c>
      <c r="L470" s="4"/>
      <c r="M470" s="12">
        <f t="shared" ref="M470:M533" si="699">K470-$L$2</f>
        <v>71.611773499999998</v>
      </c>
      <c r="N470" s="12">
        <f t="shared" ref="N470" si="700">M470^2</f>
        <v>5128.2461038153024</v>
      </c>
      <c r="O470" s="4"/>
      <c r="P470" s="4"/>
      <c r="Q470" s="4"/>
      <c r="R470" s="4"/>
      <c r="S470" s="4"/>
      <c r="T470" s="4"/>
      <c r="U470" s="4"/>
    </row>
    <row r="471" spans="1:21" ht="15.75" thickBot="1" x14ac:dyDescent="0.3">
      <c r="A471" s="9"/>
      <c r="B471" s="6">
        <v>234</v>
      </c>
      <c r="C471" s="13" t="s">
        <v>1277</v>
      </c>
      <c r="D471" s="6" t="s">
        <v>10</v>
      </c>
      <c r="E471" s="6" t="s">
        <v>11</v>
      </c>
      <c r="F471" s="6" t="s">
        <v>15</v>
      </c>
      <c r="G471" s="6">
        <v>164</v>
      </c>
      <c r="H471" s="6" t="s">
        <v>16</v>
      </c>
      <c r="I471" s="11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</row>
    <row r="472" spans="1:21" ht="15.75" thickBot="1" x14ac:dyDescent="0.3">
      <c r="A472" s="8" t="s">
        <v>484</v>
      </c>
      <c r="B472" s="5">
        <v>259</v>
      </c>
      <c r="C472" s="14" t="s">
        <v>1278</v>
      </c>
      <c r="D472" s="5" t="s">
        <v>10</v>
      </c>
      <c r="E472" s="5" t="s">
        <v>11</v>
      </c>
      <c r="F472" s="5" t="s">
        <v>12</v>
      </c>
      <c r="G472" s="5">
        <v>103</v>
      </c>
      <c r="H472" s="5" t="s">
        <v>13</v>
      </c>
      <c r="I472" s="10" t="s">
        <v>485</v>
      </c>
      <c r="J472" s="4"/>
      <c r="K472" s="12">
        <f t="shared" ref="K472:K535" si="701">(C473-C472)*1000</f>
        <v>83.787999999999968</v>
      </c>
      <c r="L472" s="4"/>
      <c r="M472" s="12">
        <f t="shared" ref="M472:M535" si="702">K472-$L$2</f>
        <v>-29.826426500000039</v>
      </c>
      <c r="N472" s="12">
        <f t="shared" ref="N472" si="703">M472^2</f>
        <v>889.61571775990456</v>
      </c>
      <c r="O472" s="4"/>
      <c r="P472" s="4"/>
      <c r="Q472" s="4"/>
      <c r="R472" s="4"/>
      <c r="S472" s="4"/>
      <c r="T472" s="4"/>
      <c r="U472" s="4"/>
    </row>
    <row r="473" spans="1:21" ht="15.75" thickBot="1" x14ac:dyDescent="0.3">
      <c r="A473" s="9"/>
      <c r="B473" s="6">
        <v>279</v>
      </c>
      <c r="C473" s="13" t="s">
        <v>1279</v>
      </c>
      <c r="D473" s="6" t="s">
        <v>10</v>
      </c>
      <c r="E473" s="6" t="s">
        <v>11</v>
      </c>
      <c r="F473" s="6" t="s">
        <v>15</v>
      </c>
      <c r="G473" s="6">
        <v>164</v>
      </c>
      <c r="H473" s="6" t="s">
        <v>16</v>
      </c>
      <c r="I473" s="11"/>
      <c r="J473" s="4"/>
      <c r="K473" s="12"/>
      <c r="L473" s="4"/>
      <c r="M473" s="4"/>
      <c r="N473" s="4"/>
      <c r="O473" s="4"/>
      <c r="P473" s="4"/>
      <c r="Q473" s="4"/>
      <c r="R473" s="4"/>
      <c r="S473" s="4"/>
      <c r="T473" s="4"/>
      <c r="U473" s="4"/>
    </row>
    <row r="474" spans="1:21" ht="15.75" thickBot="1" x14ac:dyDescent="0.3">
      <c r="A474" s="8" t="s">
        <v>486</v>
      </c>
      <c r="B474" s="5">
        <v>232</v>
      </c>
      <c r="C474" s="14" t="s">
        <v>1280</v>
      </c>
      <c r="D474" s="5" t="s">
        <v>10</v>
      </c>
      <c r="E474" s="5" t="s">
        <v>11</v>
      </c>
      <c r="F474" s="5" t="s">
        <v>12</v>
      </c>
      <c r="G474" s="5">
        <v>103</v>
      </c>
      <c r="H474" s="5" t="s">
        <v>13</v>
      </c>
      <c r="I474" s="10" t="s">
        <v>487</v>
      </c>
      <c r="J474" s="4"/>
      <c r="K474" s="12">
        <f t="shared" ref="K474:K537" si="704">(C475-C474)*1000</f>
        <v>165.78300000000002</v>
      </c>
      <c r="L474" s="4"/>
      <c r="M474" s="12">
        <f t="shared" ref="M474:M537" si="705">K474-$L$2</f>
        <v>52.168573500000008</v>
      </c>
      <c r="N474" s="12">
        <f t="shared" ref="N474" si="706">M474^2</f>
        <v>2721.560061024903</v>
      </c>
      <c r="O474" s="4"/>
      <c r="P474" s="4"/>
      <c r="Q474" s="4"/>
      <c r="R474" s="4"/>
      <c r="S474" s="4"/>
      <c r="T474" s="4"/>
      <c r="U474" s="4"/>
    </row>
    <row r="475" spans="1:21" ht="15.75" thickBot="1" x14ac:dyDescent="0.3">
      <c r="A475" s="9"/>
      <c r="B475" s="6">
        <v>272</v>
      </c>
      <c r="C475" s="13" t="s">
        <v>1281</v>
      </c>
      <c r="D475" s="6" t="s">
        <v>10</v>
      </c>
      <c r="E475" s="6" t="s">
        <v>11</v>
      </c>
      <c r="F475" s="6" t="s">
        <v>15</v>
      </c>
      <c r="G475" s="6">
        <v>164</v>
      </c>
      <c r="H475" s="6" t="s">
        <v>16</v>
      </c>
      <c r="I475" s="11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</row>
    <row r="476" spans="1:21" ht="15.75" thickBot="1" x14ac:dyDescent="0.3">
      <c r="A476" s="8" t="s">
        <v>488</v>
      </c>
      <c r="B476" s="5">
        <v>246</v>
      </c>
      <c r="C476" s="14" t="s">
        <v>1282</v>
      </c>
      <c r="D476" s="5" t="s">
        <v>10</v>
      </c>
      <c r="E476" s="5" t="s">
        <v>11</v>
      </c>
      <c r="F476" s="5" t="s">
        <v>12</v>
      </c>
      <c r="G476" s="5">
        <v>103</v>
      </c>
      <c r="H476" s="5" t="s">
        <v>13</v>
      </c>
      <c r="I476" s="10" t="s">
        <v>489</v>
      </c>
      <c r="J476" s="4"/>
      <c r="K476" s="12">
        <f t="shared" ref="K476:K539" si="707">(C477-C476)*1000</f>
        <v>134.86920000000003</v>
      </c>
      <c r="L476" s="4"/>
      <c r="M476" s="12">
        <f t="shared" ref="M476:M539" si="708">K476-$L$2</f>
        <v>21.254773500000027</v>
      </c>
      <c r="N476" s="12">
        <f t="shared" ref="N476" si="709">M476^2</f>
        <v>451.7653965363034</v>
      </c>
      <c r="O476" s="4"/>
      <c r="P476" s="4"/>
      <c r="Q476" s="4"/>
      <c r="R476" s="4"/>
      <c r="S476" s="4"/>
      <c r="T476" s="4"/>
      <c r="U476" s="4"/>
    </row>
    <row r="477" spans="1:21" ht="15.75" thickBot="1" x14ac:dyDescent="0.3">
      <c r="A477" s="9"/>
      <c r="B477" s="6">
        <v>277</v>
      </c>
      <c r="C477" s="13" t="s">
        <v>1283</v>
      </c>
      <c r="D477" s="6" t="s">
        <v>10</v>
      </c>
      <c r="E477" s="6" t="s">
        <v>11</v>
      </c>
      <c r="F477" s="6" t="s">
        <v>15</v>
      </c>
      <c r="G477" s="6">
        <v>164</v>
      </c>
      <c r="H477" s="6" t="s">
        <v>16</v>
      </c>
      <c r="I477" s="11"/>
      <c r="J477" s="4"/>
      <c r="K477" s="12"/>
      <c r="L477" s="4"/>
      <c r="M477" s="4"/>
      <c r="N477" s="4"/>
      <c r="O477" s="4"/>
      <c r="P477" s="4"/>
      <c r="Q477" s="4"/>
      <c r="R477" s="4"/>
      <c r="S477" s="4"/>
      <c r="T477" s="4"/>
      <c r="U477" s="4"/>
    </row>
    <row r="478" spans="1:21" ht="15.75" thickBot="1" x14ac:dyDescent="0.3">
      <c r="A478" s="8" t="s">
        <v>490</v>
      </c>
      <c r="B478" s="5">
        <v>261</v>
      </c>
      <c r="C478" s="14" t="s">
        <v>1284</v>
      </c>
      <c r="D478" s="5" t="s">
        <v>10</v>
      </c>
      <c r="E478" s="5" t="s">
        <v>11</v>
      </c>
      <c r="F478" s="5" t="s">
        <v>12</v>
      </c>
      <c r="G478" s="5">
        <v>103</v>
      </c>
      <c r="H478" s="5" t="s">
        <v>13</v>
      </c>
      <c r="I478" s="10" t="s">
        <v>491</v>
      </c>
      <c r="J478" s="4"/>
      <c r="K478" s="12">
        <f t="shared" ref="K478:K541" si="710">(C479-C478)*1000</f>
        <v>140.89989999999997</v>
      </c>
      <c r="L478" s="4"/>
      <c r="M478" s="12">
        <f t="shared" ref="M478:M541" si="711">K478-$L$2</f>
        <v>27.285473499999966</v>
      </c>
      <c r="N478" s="12">
        <f t="shared" ref="N478" si="712">M478^2</f>
        <v>744.49706411920045</v>
      </c>
      <c r="O478" s="4"/>
      <c r="P478" s="4"/>
      <c r="Q478" s="4"/>
      <c r="R478" s="4"/>
      <c r="S478" s="4"/>
      <c r="T478" s="4"/>
      <c r="U478" s="4"/>
    </row>
    <row r="479" spans="1:21" ht="15.75" thickBot="1" x14ac:dyDescent="0.3">
      <c r="A479" s="9"/>
      <c r="B479" s="6">
        <v>294</v>
      </c>
      <c r="C479" s="13" t="s">
        <v>1285</v>
      </c>
      <c r="D479" s="6" t="s">
        <v>10</v>
      </c>
      <c r="E479" s="6" t="s">
        <v>11</v>
      </c>
      <c r="F479" s="6" t="s">
        <v>15</v>
      </c>
      <c r="G479" s="6">
        <v>164</v>
      </c>
      <c r="H479" s="6" t="s">
        <v>16</v>
      </c>
      <c r="I479" s="11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</row>
    <row r="480" spans="1:21" ht="15.75" thickBot="1" x14ac:dyDescent="0.3">
      <c r="A480" s="8" t="s">
        <v>492</v>
      </c>
      <c r="B480" s="5">
        <v>243</v>
      </c>
      <c r="C480" s="14" t="s">
        <v>1286</v>
      </c>
      <c r="D480" s="5" t="s">
        <v>10</v>
      </c>
      <c r="E480" s="5" t="s">
        <v>11</v>
      </c>
      <c r="F480" s="5" t="s">
        <v>12</v>
      </c>
      <c r="G480" s="5">
        <v>103</v>
      </c>
      <c r="H480" s="5" t="s">
        <v>13</v>
      </c>
      <c r="I480" s="10" t="s">
        <v>493</v>
      </c>
      <c r="J480" s="4"/>
      <c r="K480" s="12">
        <f t="shared" ref="K480:K543" si="713">(C481-C480)*1000</f>
        <v>163.05060000000003</v>
      </c>
      <c r="L480" s="4"/>
      <c r="M480" s="12">
        <f t="shared" ref="M480:M543" si="714">K480-$L$2</f>
        <v>49.436173500000024</v>
      </c>
      <c r="N480" s="12">
        <f t="shared" ref="N480" si="715">M480^2</f>
        <v>2443.9352503221048</v>
      </c>
      <c r="O480" s="4"/>
      <c r="P480" s="4"/>
      <c r="Q480" s="4"/>
      <c r="R480" s="4"/>
      <c r="S480" s="4"/>
      <c r="T480" s="4"/>
      <c r="U480" s="4"/>
    </row>
    <row r="481" spans="1:21" ht="15.75" thickBot="1" x14ac:dyDescent="0.3">
      <c r="A481" s="9"/>
      <c r="B481" s="6">
        <v>279</v>
      </c>
      <c r="C481" s="13" t="s">
        <v>1287</v>
      </c>
      <c r="D481" s="6" t="s">
        <v>10</v>
      </c>
      <c r="E481" s="6" t="s">
        <v>11</v>
      </c>
      <c r="F481" s="6" t="s">
        <v>15</v>
      </c>
      <c r="G481" s="6">
        <v>164</v>
      </c>
      <c r="H481" s="6" t="s">
        <v>16</v>
      </c>
      <c r="I481" s="11"/>
      <c r="J481" s="4"/>
      <c r="K481" s="12"/>
      <c r="L481" s="4"/>
      <c r="M481" s="4"/>
      <c r="N481" s="4"/>
      <c r="O481" s="4"/>
      <c r="P481" s="4"/>
      <c r="Q481" s="4"/>
      <c r="R481" s="4"/>
      <c r="S481" s="4"/>
      <c r="T481" s="4"/>
      <c r="U481" s="4"/>
    </row>
    <row r="482" spans="1:21" ht="15.75" thickBot="1" x14ac:dyDescent="0.3">
      <c r="A482" s="8" t="s">
        <v>494</v>
      </c>
      <c r="B482" s="5">
        <v>177</v>
      </c>
      <c r="C482" s="14" t="s">
        <v>1288</v>
      </c>
      <c r="D482" s="5" t="s">
        <v>10</v>
      </c>
      <c r="E482" s="5" t="s">
        <v>11</v>
      </c>
      <c r="F482" s="5" t="s">
        <v>12</v>
      </c>
      <c r="G482" s="5">
        <v>103</v>
      </c>
      <c r="H482" s="5" t="s">
        <v>13</v>
      </c>
      <c r="I482" s="10" t="s">
        <v>495</v>
      </c>
      <c r="J482" s="4"/>
      <c r="K482" s="12">
        <f t="shared" ref="K482:K545" si="716">(C483-C482)*1000</f>
        <v>220.75719999999998</v>
      </c>
      <c r="L482" s="4"/>
      <c r="M482" s="12">
        <f t="shared" ref="M482:M545" si="717">K482-$L$2</f>
        <v>107.14277349999998</v>
      </c>
      <c r="N482" s="12">
        <f t="shared" ref="N482" si="718">M482^2</f>
        <v>11479.573913272297</v>
      </c>
      <c r="O482" s="4"/>
      <c r="P482" s="4"/>
      <c r="Q482" s="4"/>
      <c r="R482" s="4"/>
      <c r="S482" s="4"/>
      <c r="T482" s="4"/>
      <c r="U482" s="4"/>
    </row>
    <row r="483" spans="1:21" ht="15.75" thickBot="1" x14ac:dyDescent="0.3">
      <c r="A483" s="9"/>
      <c r="B483" s="6">
        <v>215</v>
      </c>
      <c r="C483" s="13" t="s">
        <v>1289</v>
      </c>
      <c r="D483" s="6" t="s">
        <v>10</v>
      </c>
      <c r="E483" s="6" t="s">
        <v>11</v>
      </c>
      <c r="F483" s="6" t="s">
        <v>15</v>
      </c>
      <c r="G483" s="6">
        <v>164</v>
      </c>
      <c r="H483" s="6" t="s">
        <v>16</v>
      </c>
      <c r="I483" s="11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</row>
    <row r="484" spans="1:21" ht="15.75" thickBot="1" x14ac:dyDescent="0.3">
      <c r="A484" s="8" t="s">
        <v>496</v>
      </c>
      <c r="B484" s="5">
        <v>257</v>
      </c>
      <c r="C484" s="14" t="s">
        <v>1290</v>
      </c>
      <c r="D484" s="5" t="s">
        <v>10</v>
      </c>
      <c r="E484" s="5" t="s">
        <v>11</v>
      </c>
      <c r="F484" s="5" t="s">
        <v>12</v>
      </c>
      <c r="G484" s="5">
        <v>103</v>
      </c>
      <c r="H484" s="5" t="s">
        <v>13</v>
      </c>
      <c r="I484" s="10" t="s">
        <v>497</v>
      </c>
      <c r="J484" s="4"/>
      <c r="K484" s="12">
        <f t="shared" ref="K484:K547" si="719">(C485-C484)*1000</f>
        <v>127.54139999999991</v>
      </c>
      <c r="L484" s="4"/>
      <c r="M484" s="12">
        <f t="shared" ref="M484:M547" si="720">K484-$L$2</f>
        <v>13.926973499999903</v>
      </c>
      <c r="N484" s="12">
        <f t="shared" ref="N484" si="721">M484^2</f>
        <v>193.96059086969956</v>
      </c>
      <c r="O484" s="4"/>
      <c r="P484" s="4"/>
      <c r="Q484" s="4"/>
      <c r="R484" s="4"/>
      <c r="S484" s="4"/>
      <c r="T484" s="4"/>
      <c r="U484" s="4"/>
    </row>
    <row r="485" spans="1:21" ht="15.75" thickBot="1" x14ac:dyDescent="0.3">
      <c r="A485" s="9"/>
      <c r="B485" s="6">
        <v>283</v>
      </c>
      <c r="C485" s="13" t="s">
        <v>1291</v>
      </c>
      <c r="D485" s="6" t="s">
        <v>10</v>
      </c>
      <c r="E485" s="6" t="s">
        <v>11</v>
      </c>
      <c r="F485" s="6" t="s">
        <v>15</v>
      </c>
      <c r="G485" s="6">
        <v>164</v>
      </c>
      <c r="H485" s="6" t="s">
        <v>16</v>
      </c>
      <c r="I485" s="11"/>
      <c r="J485" s="4"/>
      <c r="K485" s="12"/>
      <c r="L485" s="4"/>
      <c r="M485" s="4"/>
      <c r="N485" s="4"/>
      <c r="O485" s="4"/>
      <c r="P485" s="4"/>
      <c r="Q485" s="4"/>
      <c r="R485" s="4"/>
      <c r="S485" s="4"/>
      <c r="T485" s="4"/>
      <c r="U485" s="4"/>
    </row>
    <row r="486" spans="1:21" ht="15.75" thickBot="1" x14ac:dyDescent="0.3">
      <c r="A486" s="8" t="s">
        <v>498</v>
      </c>
      <c r="B486" s="5">
        <v>281</v>
      </c>
      <c r="C486" s="14" t="s">
        <v>1292</v>
      </c>
      <c r="D486" s="5" t="s">
        <v>10</v>
      </c>
      <c r="E486" s="5" t="s">
        <v>11</v>
      </c>
      <c r="F486" s="5" t="s">
        <v>12</v>
      </c>
      <c r="G486" s="5">
        <v>103</v>
      </c>
      <c r="H486" s="5" t="s">
        <v>13</v>
      </c>
      <c r="I486" s="10" t="s">
        <v>499</v>
      </c>
      <c r="J486" s="4"/>
      <c r="K486" s="12">
        <f t="shared" ref="K486:K549" si="722">(C487-C486)*1000</f>
        <v>154.85570000000016</v>
      </c>
      <c r="L486" s="4"/>
      <c r="M486" s="12">
        <f t="shared" ref="M486:M549" si="723">K486-$L$2</f>
        <v>41.241273500000148</v>
      </c>
      <c r="N486" s="12">
        <f t="shared" ref="N486" si="724">M486^2</f>
        <v>1700.8426399018144</v>
      </c>
      <c r="O486" s="4"/>
      <c r="P486" s="4"/>
      <c r="Q486" s="4"/>
      <c r="R486" s="4"/>
      <c r="S486" s="4"/>
      <c r="T486" s="4"/>
      <c r="U486" s="4"/>
    </row>
    <row r="487" spans="1:21" ht="15.75" thickBot="1" x14ac:dyDescent="0.3">
      <c r="A487" s="9"/>
      <c r="B487" s="6">
        <v>310</v>
      </c>
      <c r="C487" s="13" t="s">
        <v>1293</v>
      </c>
      <c r="D487" s="6" t="s">
        <v>10</v>
      </c>
      <c r="E487" s="6" t="s">
        <v>11</v>
      </c>
      <c r="F487" s="6" t="s">
        <v>15</v>
      </c>
      <c r="G487" s="6">
        <v>164</v>
      </c>
      <c r="H487" s="6" t="s">
        <v>16</v>
      </c>
      <c r="I487" s="11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</row>
    <row r="488" spans="1:21" ht="15.75" thickBot="1" x14ac:dyDescent="0.3">
      <c r="A488" s="8" t="s">
        <v>500</v>
      </c>
      <c r="B488" s="5">
        <v>250</v>
      </c>
      <c r="C488" s="14" t="s">
        <v>1294</v>
      </c>
      <c r="D488" s="5" t="s">
        <v>10</v>
      </c>
      <c r="E488" s="5" t="s">
        <v>11</v>
      </c>
      <c r="F488" s="5" t="s">
        <v>12</v>
      </c>
      <c r="G488" s="5">
        <v>103</v>
      </c>
      <c r="H488" s="5" t="s">
        <v>13</v>
      </c>
      <c r="I488" s="10" t="s">
        <v>501</v>
      </c>
      <c r="J488" s="4"/>
      <c r="K488" s="12">
        <f t="shared" ref="K488:K551" si="725">(C489-C488)*1000</f>
        <v>175.16839999999999</v>
      </c>
      <c r="L488" s="4"/>
      <c r="M488" s="12">
        <f t="shared" ref="M488:M551" si="726">K488-$L$2</f>
        <v>61.553973499999984</v>
      </c>
      <c r="N488" s="12">
        <f t="shared" ref="N488" si="727">M488^2</f>
        <v>3788.8916536387001</v>
      </c>
      <c r="O488" s="4"/>
      <c r="P488" s="4"/>
      <c r="Q488" s="4"/>
      <c r="R488" s="4"/>
      <c r="S488" s="4"/>
      <c r="T488" s="4"/>
      <c r="U488" s="4"/>
    </row>
    <row r="489" spans="1:21" ht="15.75" thickBot="1" x14ac:dyDescent="0.3">
      <c r="A489" s="9"/>
      <c r="B489" s="6">
        <v>290</v>
      </c>
      <c r="C489" s="13" t="s">
        <v>1295</v>
      </c>
      <c r="D489" s="6" t="s">
        <v>10</v>
      </c>
      <c r="E489" s="6" t="s">
        <v>11</v>
      </c>
      <c r="F489" s="6" t="s">
        <v>15</v>
      </c>
      <c r="G489" s="6">
        <v>164</v>
      </c>
      <c r="H489" s="6" t="s">
        <v>16</v>
      </c>
      <c r="I489" s="11"/>
      <c r="J489" s="4"/>
      <c r="K489" s="12"/>
      <c r="L489" s="4"/>
      <c r="M489" s="4"/>
      <c r="N489" s="4"/>
      <c r="O489" s="4"/>
      <c r="P489" s="4"/>
      <c r="Q489" s="4"/>
      <c r="R489" s="4"/>
      <c r="S489" s="4"/>
      <c r="T489" s="4"/>
      <c r="U489" s="4"/>
    </row>
    <row r="490" spans="1:21" ht="15.75" thickBot="1" x14ac:dyDescent="0.3">
      <c r="A490" s="8" t="s">
        <v>502</v>
      </c>
      <c r="B490" s="5">
        <v>279</v>
      </c>
      <c r="C490" s="14" t="s">
        <v>1296</v>
      </c>
      <c r="D490" s="5" t="s">
        <v>10</v>
      </c>
      <c r="E490" s="5" t="s">
        <v>11</v>
      </c>
      <c r="F490" s="5" t="s">
        <v>12</v>
      </c>
      <c r="G490" s="5">
        <v>103</v>
      </c>
      <c r="H490" s="5" t="s">
        <v>13</v>
      </c>
      <c r="I490" s="10" t="s">
        <v>503</v>
      </c>
      <c r="J490" s="4"/>
      <c r="K490" s="12">
        <f t="shared" ref="K490:K553" si="728">(C491-C490)*1000</f>
        <v>175.26689999999999</v>
      </c>
      <c r="L490" s="4"/>
      <c r="M490" s="12">
        <f t="shared" ref="M490:M553" si="729">K490-$L$2</f>
        <v>61.652473499999985</v>
      </c>
      <c r="N490" s="12">
        <f t="shared" ref="N490" si="730">M490^2</f>
        <v>3801.0274886682005</v>
      </c>
      <c r="O490" s="4"/>
      <c r="P490" s="4"/>
      <c r="Q490" s="4"/>
      <c r="R490" s="4"/>
      <c r="S490" s="4"/>
      <c r="T490" s="4"/>
      <c r="U490" s="4"/>
    </row>
    <row r="491" spans="1:21" ht="15.75" thickBot="1" x14ac:dyDescent="0.3">
      <c r="A491" s="9"/>
      <c r="B491" s="6">
        <v>318</v>
      </c>
      <c r="C491" s="13" t="s">
        <v>1297</v>
      </c>
      <c r="D491" s="6" t="s">
        <v>10</v>
      </c>
      <c r="E491" s="6" t="s">
        <v>11</v>
      </c>
      <c r="F491" s="6" t="s">
        <v>15</v>
      </c>
      <c r="G491" s="6">
        <v>164</v>
      </c>
      <c r="H491" s="6" t="s">
        <v>16</v>
      </c>
      <c r="I491" s="11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</row>
    <row r="492" spans="1:21" ht="15.75" thickBot="1" x14ac:dyDescent="0.3">
      <c r="A492" s="8" t="s">
        <v>504</v>
      </c>
      <c r="B492" s="5">
        <v>274</v>
      </c>
      <c r="C492" s="14" t="s">
        <v>1298</v>
      </c>
      <c r="D492" s="5" t="s">
        <v>10</v>
      </c>
      <c r="E492" s="5" t="s">
        <v>11</v>
      </c>
      <c r="F492" s="5" t="s">
        <v>12</v>
      </c>
      <c r="G492" s="5">
        <v>103</v>
      </c>
      <c r="H492" s="5" t="s">
        <v>13</v>
      </c>
      <c r="I492" s="10" t="s">
        <v>505</v>
      </c>
      <c r="J492" s="4"/>
      <c r="K492" s="12">
        <f t="shared" ref="K492:K555" si="731">(C493-C492)*1000</f>
        <v>115.70229999999992</v>
      </c>
      <c r="L492" s="4"/>
      <c r="M492" s="12">
        <f t="shared" ref="M492:M555" si="732">K492-$L$2</f>
        <v>2.0878734999999153</v>
      </c>
      <c r="N492" s="12">
        <f t="shared" ref="N492" si="733">M492^2</f>
        <v>4.3592157520018961</v>
      </c>
      <c r="O492" s="4"/>
      <c r="P492" s="4"/>
      <c r="Q492" s="4"/>
      <c r="R492" s="4"/>
      <c r="S492" s="4"/>
      <c r="T492" s="4"/>
      <c r="U492" s="4"/>
    </row>
    <row r="493" spans="1:21" ht="15.75" thickBot="1" x14ac:dyDescent="0.3">
      <c r="A493" s="9"/>
      <c r="B493" s="6">
        <v>300</v>
      </c>
      <c r="C493" s="13" t="s">
        <v>1299</v>
      </c>
      <c r="D493" s="6" t="s">
        <v>10</v>
      </c>
      <c r="E493" s="6" t="s">
        <v>11</v>
      </c>
      <c r="F493" s="6" t="s">
        <v>15</v>
      </c>
      <c r="G493" s="6">
        <v>164</v>
      </c>
      <c r="H493" s="6" t="s">
        <v>16</v>
      </c>
      <c r="I493" s="11"/>
      <c r="J493" s="4"/>
      <c r="K493" s="12"/>
      <c r="L493" s="4"/>
      <c r="M493" s="4"/>
      <c r="N493" s="4"/>
      <c r="O493" s="4"/>
      <c r="P493" s="4"/>
      <c r="Q493" s="4"/>
      <c r="R493" s="4"/>
      <c r="S493" s="4"/>
      <c r="T493" s="4"/>
      <c r="U493" s="4"/>
    </row>
    <row r="494" spans="1:21" ht="15.75" thickBot="1" x14ac:dyDescent="0.3">
      <c r="A494" s="8" t="s">
        <v>506</v>
      </c>
      <c r="B494" s="5">
        <v>219</v>
      </c>
      <c r="C494" s="14" t="s">
        <v>1300</v>
      </c>
      <c r="D494" s="5" t="s">
        <v>10</v>
      </c>
      <c r="E494" s="5" t="s">
        <v>11</v>
      </c>
      <c r="F494" s="5" t="s">
        <v>12</v>
      </c>
      <c r="G494" s="5">
        <v>103</v>
      </c>
      <c r="H494" s="5" t="s">
        <v>13</v>
      </c>
      <c r="I494" s="10" t="s">
        <v>507</v>
      </c>
      <c r="J494" s="4"/>
      <c r="K494" s="12">
        <f t="shared" ref="K494:K557" si="734">(C495-C494)*1000</f>
        <v>114.62180000000011</v>
      </c>
      <c r="L494" s="4"/>
      <c r="M494" s="12">
        <f t="shared" ref="M494:M557" si="735">K494-$L$2</f>
        <v>1.0073735000000994</v>
      </c>
      <c r="N494" s="12">
        <f t="shared" ref="N494" si="736">M494^2</f>
        <v>1.0148013685024502</v>
      </c>
      <c r="O494" s="4"/>
      <c r="P494" s="4"/>
      <c r="Q494" s="4"/>
      <c r="R494" s="4"/>
      <c r="S494" s="4"/>
      <c r="T494" s="4"/>
      <c r="U494" s="4"/>
    </row>
    <row r="495" spans="1:21" ht="15.75" thickBot="1" x14ac:dyDescent="0.3">
      <c r="A495" s="9"/>
      <c r="B495" s="6">
        <v>245</v>
      </c>
      <c r="C495" s="13" t="s">
        <v>1301</v>
      </c>
      <c r="D495" s="6" t="s">
        <v>10</v>
      </c>
      <c r="E495" s="6" t="s">
        <v>11</v>
      </c>
      <c r="F495" s="6" t="s">
        <v>15</v>
      </c>
      <c r="G495" s="6">
        <v>164</v>
      </c>
      <c r="H495" s="6" t="s">
        <v>16</v>
      </c>
      <c r="I495" s="11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</row>
    <row r="496" spans="1:21" ht="15.75" thickBot="1" x14ac:dyDescent="0.3">
      <c r="A496" s="8" t="s">
        <v>508</v>
      </c>
      <c r="B496" s="5">
        <v>224</v>
      </c>
      <c r="C496" s="14" t="s">
        <v>1302</v>
      </c>
      <c r="D496" s="5" t="s">
        <v>10</v>
      </c>
      <c r="E496" s="5" t="s">
        <v>11</v>
      </c>
      <c r="F496" s="5" t="s">
        <v>12</v>
      </c>
      <c r="G496" s="5">
        <v>103</v>
      </c>
      <c r="H496" s="5" t="s">
        <v>13</v>
      </c>
      <c r="I496" s="10" t="s">
        <v>509</v>
      </c>
      <c r="J496" s="4"/>
      <c r="K496" s="12">
        <f t="shared" ref="K496:K559" si="737">(C497-C496)*1000</f>
        <v>104.97309999999982</v>
      </c>
      <c r="L496" s="4"/>
      <c r="M496" s="12">
        <f t="shared" ref="M496:M559" si="738">K496-$L$2</f>
        <v>-8.64132650000019</v>
      </c>
      <c r="N496" s="12">
        <f t="shared" ref="N496" si="739">M496^2</f>
        <v>74.672523679605533</v>
      </c>
      <c r="O496" s="4"/>
      <c r="P496" s="4"/>
      <c r="Q496" s="4"/>
      <c r="R496" s="4"/>
      <c r="S496" s="4"/>
      <c r="T496" s="4"/>
      <c r="U496" s="4"/>
    </row>
    <row r="497" spans="1:21" ht="15.75" thickBot="1" x14ac:dyDescent="0.3">
      <c r="A497" s="9"/>
      <c r="B497" s="6">
        <v>252</v>
      </c>
      <c r="C497" s="13" t="s">
        <v>1303</v>
      </c>
      <c r="D497" s="6" t="s">
        <v>10</v>
      </c>
      <c r="E497" s="6" t="s">
        <v>11</v>
      </c>
      <c r="F497" s="6" t="s">
        <v>15</v>
      </c>
      <c r="G497" s="6">
        <v>164</v>
      </c>
      <c r="H497" s="6" t="s">
        <v>16</v>
      </c>
      <c r="I497" s="11"/>
      <c r="J497" s="4"/>
      <c r="K497" s="12"/>
      <c r="L497" s="4"/>
      <c r="M497" s="4"/>
      <c r="N497" s="4"/>
      <c r="O497" s="4"/>
      <c r="P497" s="4"/>
      <c r="Q497" s="4"/>
      <c r="R497" s="4"/>
      <c r="S497" s="4"/>
      <c r="T497" s="4"/>
      <c r="U497" s="4"/>
    </row>
    <row r="498" spans="1:21" ht="15.75" thickBot="1" x14ac:dyDescent="0.3">
      <c r="A498" s="8" t="s">
        <v>510</v>
      </c>
      <c r="B498" s="5">
        <v>222</v>
      </c>
      <c r="C498" s="14" t="s">
        <v>1304</v>
      </c>
      <c r="D498" s="5" t="s">
        <v>10</v>
      </c>
      <c r="E498" s="5" t="s">
        <v>11</v>
      </c>
      <c r="F498" s="5" t="s">
        <v>12</v>
      </c>
      <c r="G498" s="5">
        <v>103</v>
      </c>
      <c r="H498" s="5" t="s">
        <v>13</v>
      </c>
      <c r="I498" s="10" t="s">
        <v>511</v>
      </c>
      <c r="J498" s="4"/>
      <c r="K498" s="12">
        <f t="shared" ref="K498:K561" si="740">(C499-C498)*1000</f>
        <v>156.00570000000002</v>
      </c>
      <c r="L498" s="4"/>
      <c r="M498" s="12">
        <f t="shared" ref="M498:M561" si="741">K498-$L$2</f>
        <v>42.391273500000011</v>
      </c>
      <c r="N498" s="12">
        <f t="shared" ref="N498" si="742">M498^2</f>
        <v>1797.0200689518033</v>
      </c>
      <c r="O498" s="4"/>
      <c r="P498" s="4"/>
      <c r="Q498" s="4"/>
      <c r="R498" s="4"/>
      <c r="S498" s="4"/>
      <c r="T498" s="4"/>
      <c r="U498" s="4"/>
    </row>
    <row r="499" spans="1:21" ht="15.75" thickBot="1" x14ac:dyDescent="0.3">
      <c r="A499" s="9"/>
      <c r="B499" s="6">
        <v>260</v>
      </c>
      <c r="C499" s="13" t="s">
        <v>1305</v>
      </c>
      <c r="D499" s="6" t="s">
        <v>10</v>
      </c>
      <c r="E499" s="6" t="s">
        <v>11</v>
      </c>
      <c r="F499" s="6" t="s">
        <v>15</v>
      </c>
      <c r="G499" s="6">
        <v>164</v>
      </c>
      <c r="H499" s="6" t="s">
        <v>16</v>
      </c>
      <c r="I499" s="11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</row>
    <row r="500" spans="1:21" ht="15.75" thickBot="1" x14ac:dyDescent="0.3">
      <c r="A500" s="8" t="s">
        <v>512</v>
      </c>
      <c r="B500" s="5">
        <v>240</v>
      </c>
      <c r="C500" s="14" t="s">
        <v>1306</v>
      </c>
      <c r="D500" s="5" t="s">
        <v>10</v>
      </c>
      <c r="E500" s="5" t="s">
        <v>11</v>
      </c>
      <c r="F500" s="5" t="s">
        <v>12</v>
      </c>
      <c r="G500" s="5">
        <v>103</v>
      </c>
      <c r="H500" s="5" t="s">
        <v>13</v>
      </c>
      <c r="I500" s="10" t="s">
        <v>513</v>
      </c>
      <c r="J500" s="4"/>
      <c r="K500" s="12">
        <f t="shared" ref="K500:K563" si="743">(C501-C500)*1000</f>
        <v>149.89089999999993</v>
      </c>
      <c r="L500" s="4"/>
      <c r="M500" s="12">
        <f t="shared" ref="M500:M563" si="744">K500-$L$2</f>
        <v>36.276473499999923</v>
      </c>
      <c r="N500" s="12">
        <f t="shared" ref="N500" si="745">M500^2</f>
        <v>1315.9825295961966</v>
      </c>
      <c r="O500" s="4"/>
      <c r="P500" s="4"/>
      <c r="Q500" s="4"/>
      <c r="R500" s="4"/>
      <c r="S500" s="4"/>
      <c r="T500" s="4"/>
      <c r="U500" s="4"/>
    </row>
    <row r="501" spans="1:21" ht="15.75" thickBot="1" x14ac:dyDescent="0.3">
      <c r="A501" s="9"/>
      <c r="B501" s="6">
        <v>267</v>
      </c>
      <c r="C501" s="13" t="s">
        <v>1307</v>
      </c>
      <c r="D501" s="6" t="s">
        <v>10</v>
      </c>
      <c r="E501" s="6" t="s">
        <v>11</v>
      </c>
      <c r="F501" s="6" t="s">
        <v>15</v>
      </c>
      <c r="G501" s="6">
        <v>164</v>
      </c>
      <c r="H501" s="6" t="s">
        <v>16</v>
      </c>
      <c r="I501" s="11"/>
      <c r="J501" s="4"/>
      <c r="K501" s="12"/>
      <c r="L501" s="4"/>
      <c r="M501" s="4"/>
      <c r="N501" s="4"/>
      <c r="O501" s="4"/>
      <c r="P501" s="4"/>
      <c r="Q501" s="4"/>
      <c r="R501" s="4"/>
      <c r="S501" s="4"/>
      <c r="T501" s="4"/>
      <c r="U501" s="4"/>
    </row>
    <row r="502" spans="1:21" ht="15.75" thickBot="1" x14ac:dyDescent="0.3">
      <c r="A502" s="8" t="s">
        <v>514</v>
      </c>
      <c r="B502" s="5">
        <v>304</v>
      </c>
      <c r="C502" s="14" t="s">
        <v>1308</v>
      </c>
      <c r="D502" s="5" t="s">
        <v>10</v>
      </c>
      <c r="E502" s="5" t="s">
        <v>11</v>
      </c>
      <c r="F502" s="5" t="s">
        <v>12</v>
      </c>
      <c r="G502" s="5">
        <v>103</v>
      </c>
      <c r="H502" s="5" t="s">
        <v>13</v>
      </c>
      <c r="I502" s="10" t="s">
        <v>515</v>
      </c>
      <c r="J502" s="4"/>
      <c r="K502" s="12">
        <f t="shared" ref="K502:K565" si="746">(C503-C502)*1000</f>
        <v>95.230699999999885</v>
      </c>
      <c r="L502" s="4"/>
      <c r="M502" s="12">
        <f t="shared" ref="M502:M565" si="747">K502-$L$2</f>
        <v>-18.383726500000122</v>
      </c>
      <c r="N502" s="12">
        <f t="shared" ref="N502" si="748">M502^2</f>
        <v>337.96140002680676</v>
      </c>
      <c r="O502" s="4"/>
      <c r="P502" s="4"/>
      <c r="Q502" s="4"/>
      <c r="R502" s="4"/>
      <c r="S502" s="4"/>
      <c r="T502" s="4"/>
      <c r="U502" s="4"/>
    </row>
    <row r="503" spans="1:21" ht="15.75" thickBot="1" x14ac:dyDescent="0.3">
      <c r="A503" s="9"/>
      <c r="B503" s="6">
        <v>328</v>
      </c>
      <c r="C503" s="13" t="s">
        <v>1309</v>
      </c>
      <c r="D503" s="6" t="s">
        <v>10</v>
      </c>
      <c r="E503" s="6" t="s">
        <v>11</v>
      </c>
      <c r="F503" s="6" t="s">
        <v>15</v>
      </c>
      <c r="G503" s="6">
        <v>164</v>
      </c>
      <c r="H503" s="6" t="s">
        <v>16</v>
      </c>
      <c r="I503" s="11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</row>
    <row r="504" spans="1:21" ht="15.75" thickBot="1" x14ac:dyDescent="0.3">
      <c r="A504" s="8" t="s">
        <v>516</v>
      </c>
      <c r="B504" s="5">
        <v>204</v>
      </c>
      <c r="C504" s="14" t="s">
        <v>1610</v>
      </c>
      <c r="D504" s="5" t="s">
        <v>10</v>
      </c>
      <c r="E504" s="5" t="s">
        <v>11</v>
      </c>
      <c r="F504" s="5" t="s">
        <v>12</v>
      </c>
      <c r="G504" s="5">
        <v>103</v>
      </c>
      <c r="H504" s="5" t="s">
        <v>13</v>
      </c>
      <c r="I504" s="10" t="s">
        <v>517</v>
      </c>
      <c r="J504" s="4"/>
      <c r="K504" s="12">
        <f t="shared" ref="K504:K567" si="749">(C505-C504)*1000</f>
        <v>159.48329999999987</v>
      </c>
      <c r="L504" s="4"/>
      <c r="M504" s="12">
        <f t="shared" ref="M504:M567" si="750">K504-$L$2</f>
        <v>45.868873499999864</v>
      </c>
      <c r="N504" s="12">
        <f t="shared" ref="N504" si="751">M504^2</f>
        <v>2103.9535561589896</v>
      </c>
      <c r="O504" s="4"/>
      <c r="P504" s="4"/>
      <c r="Q504" s="4"/>
      <c r="R504" s="4"/>
      <c r="S504" s="4"/>
      <c r="T504" s="4"/>
      <c r="U504" s="4"/>
    </row>
    <row r="505" spans="1:21" ht="15.75" thickBot="1" x14ac:dyDescent="0.3">
      <c r="A505" s="9"/>
      <c r="B505" s="6">
        <v>246</v>
      </c>
      <c r="C505" s="13" t="s">
        <v>1310</v>
      </c>
      <c r="D505" s="6" t="s">
        <v>10</v>
      </c>
      <c r="E505" s="6" t="s">
        <v>11</v>
      </c>
      <c r="F505" s="6" t="s">
        <v>15</v>
      </c>
      <c r="G505" s="6">
        <v>164</v>
      </c>
      <c r="H505" s="6" t="s">
        <v>16</v>
      </c>
      <c r="I505" s="11"/>
      <c r="J505" s="4"/>
      <c r="K505" s="12"/>
      <c r="L505" s="4"/>
      <c r="M505" s="4"/>
      <c r="N505" s="4"/>
      <c r="O505" s="4"/>
      <c r="P505" s="4"/>
      <c r="Q505" s="4"/>
      <c r="R505" s="4"/>
      <c r="S505" s="4"/>
      <c r="T505" s="4"/>
      <c r="U505" s="4"/>
    </row>
    <row r="506" spans="1:21" ht="15.75" thickBot="1" x14ac:dyDescent="0.3">
      <c r="A506" s="8" t="s">
        <v>518</v>
      </c>
      <c r="B506" s="5">
        <v>263</v>
      </c>
      <c r="C506" s="14" t="s">
        <v>1311</v>
      </c>
      <c r="D506" s="5" t="s">
        <v>10</v>
      </c>
      <c r="E506" s="5" t="s">
        <v>11</v>
      </c>
      <c r="F506" s="5" t="s">
        <v>12</v>
      </c>
      <c r="G506" s="5">
        <v>103</v>
      </c>
      <c r="H506" s="5" t="s">
        <v>13</v>
      </c>
      <c r="I506" s="10" t="s">
        <v>519</v>
      </c>
      <c r="J506" s="4"/>
      <c r="K506" s="12">
        <f t="shared" ref="K506:K569" si="752">(C507-C506)*1000</f>
        <v>47.08570000000001</v>
      </c>
      <c r="L506" s="4"/>
      <c r="M506" s="12">
        <f t="shared" ref="M506:M569" si="753">K506-$L$2</f>
        <v>-66.528726500000005</v>
      </c>
      <c r="N506" s="12">
        <f t="shared" ref="N506" si="754">M506^2</f>
        <v>4426.0714497118033</v>
      </c>
      <c r="O506" s="4"/>
      <c r="P506" s="4"/>
      <c r="Q506" s="4"/>
      <c r="R506" s="4"/>
      <c r="S506" s="4"/>
      <c r="T506" s="4"/>
      <c r="U506" s="4"/>
    </row>
    <row r="507" spans="1:21" ht="15.75" thickBot="1" x14ac:dyDescent="0.3">
      <c r="A507" s="9"/>
      <c r="B507" s="6">
        <v>276</v>
      </c>
      <c r="C507" s="13" t="s">
        <v>1312</v>
      </c>
      <c r="D507" s="6" t="s">
        <v>10</v>
      </c>
      <c r="E507" s="6" t="s">
        <v>11</v>
      </c>
      <c r="F507" s="6" t="s">
        <v>15</v>
      </c>
      <c r="G507" s="6">
        <v>164</v>
      </c>
      <c r="H507" s="6" t="s">
        <v>16</v>
      </c>
      <c r="I507" s="11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</row>
    <row r="508" spans="1:21" ht="15.75" thickBot="1" x14ac:dyDescent="0.3">
      <c r="A508" s="8" t="s">
        <v>520</v>
      </c>
      <c r="B508" s="5">
        <v>257</v>
      </c>
      <c r="C508" s="14" t="s">
        <v>1313</v>
      </c>
      <c r="D508" s="5" t="s">
        <v>10</v>
      </c>
      <c r="E508" s="5" t="s">
        <v>11</v>
      </c>
      <c r="F508" s="5" t="s">
        <v>12</v>
      </c>
      <c r="G508" s="5">
        <v>103</v>
      </c>
      <c r="H508" s="5" t="s">
        <v>13</v>
      </c>
      <c r="I508" s="10" t="s">
        <v>521</v>
      </c>
      <c r="J508" s="4"/>
      <c r="K508" s="12">
        <f t="shared" ref="K508:K571" si="755">(C509-C508)*1000</f>
        <v>172.7803000000001</v>
      </c>
      <c r="L508" s="4"/>
      <c r="M508" s="12">
        <f t="shared" ref="M508:M571" si="756">K508-$L$2</f>
        <v>59.165873500000089</v>
      </c>
      <c r="N508" s="12">
        <f t="shared" ref="N508" si="757">M508^2</f>
        <v>3500.6005870180129</v>
      </c>
      <c r="O508" s="4"/>
      <c r="P508" s="4"/>
      <c r="Q508" s="4"/>
      <c r="R508" s="4"/>
      <c r="S508" s="4"/>
      <c r="T508" s="4"/>
      <c r="U508" s="4"/>
    </row>
    <row r="509" spans="1:21" ht="15.75" thickBot="1" x14ac:dyDescent="0.3">
      <c r="A509" s="9"/>
      <c r="B509" s="6">
        <v>299</v>
      </c>
      <c r="C509" s="13" t="s">
        <v>1314</v>
      </c>
      <c r="D509" s="6" t="s">
        <v>10</v>
      </c>
      <c r="E509" s="6" t="s">
        <v>11</v>
      </c>
      <c r="F509" s="6" t="s">
        <v>15</v>
      </c>
      <c r="G509" s="6">
        <v>164</v>
      </c>
      <c r="H509" s="6" t="s">
        <v>16</v>
      </c>
      <c r="I509" s="11"/>
      <c r="J509" s="4"/>
      <c r="K509" s="12"/>
      <c r="L509" s="4"/>
      <c r="M509" s="4"/>
      <c r="N509" s="4"/>
      <c r="O509" s="4"/>
      <c r="P509" s="4"/>
      <c r="Q509" s="4"/>
      <c r="R509" s="4"/>
      <c r="S509" s="4"/>
      <c r="T509" s="4"/>
      <c r="U509" s="4"/>
    </row>
    <row r="510" spans="1:21" ht="15.75" thickBot="1" x14ac:dyDescent="0.3">
      <c r="A510" s="8" t="s">
        <v>522</v>
      </c>
      <c r="B510" s="5">
        <v>227</v>
      </c>
      <c r="C510" s="14" t="s">
        <v>1315</v>
      </c>
      <c r="D510" s="5" t="s">
        <v>10</v>
      </c>
      <c r="E510" s="5" t="s">
        <v>11</v>
      </c>
      <c r="F510" s="5" t="s">
        <v>12</v>
      </c>
      <c r="G510" s="5">
        <v>103</v>
      </c>
      <c r="H510" s="5" t="s">
        <v>13</v>
      </c>
      <c r="I510" s="10" t="s">
        <v>523</v>
      </c>
      <c r="J510" s="4"/>
      <c r="K510" s="12">
        <f t="shared" ref="K510:K573" si="758">(C511-C510)*1000</f>
        <v>151.16090000000005</v>
      </c>
      <c r="L510" s="4"/>
      <c r="M510" s="12">
        <f t="shared" ref="M510:M573" si="759">K510-$L$2</f>
        <v>37.546473500000047</v>
      </c>
      <c r="N510" s="12">
        <f t="shared" ref="N510" si="760">M510^2</f>
        <v>1409.7376722862059</v>
      </c>
      <c r="O510" s="4"/>
      <c r="P510" s="4"/>
      <c r="Q510" s="4"/>
      <c r="R510" s="4"/>
      <c r="S510" s="4"/>
      <c r="T510" s="4"/>
      <c r="U510" s="4"/>
    </row>
    <row r="511" spans="1:21" ht="15.75" thickBot="1" x14ac:dyDescent="0.3">
      <c r="A511" s="9"/>
      <c r="B511" s="6">
        <v>263</v>
      </c>
      <c r="C511" s="13" t="s">
        <v>1316</v>
      </c>
      <c r="D511" s="6" t="s">
        <v>10</v>
      </c>
      <c r="E511" s="6" t="s">
        <v>11</v>
      </c>
      <c r="F511" s="6" t="s">
        <v>15</v>
      </c>
      <c r="G511" s="6">
        <v>164</v>
      </c>
      <c r="H511" s="6" t="s">
        <v>16</v>
      </c>
      <c r="I511" s="11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</row>
    <row r="512" spans="1:21" ht="15.75" thickBot="1" x14ac:dyDescent="0.3">
      <c r="A512" s="8" t="s">
        <v>524</v>
      </c>
      <c r="B512" s="5">
        <v>222</v>
      </c>
      <c r="C512" s="14" t="s">
        <v>1317</v>
      </c>
      <c r="D512" s="5" t="s">
        <v>10</v>
      </c>
      <c r="E512" s="5" t="s">
        <v>11</v>
      </c>
      <c r="F512" s="5" t="s">
        <v>12</v>
      </c>
      <c r="G512" s="5">
        <v>103</v>
      </c>
      <c r="H512" s="5" t="s">
        <v>13</v>
      </c>
      <c r="I512" s="10" t="s">
        <v>525</v>
      </c>
      <c r="J512" s="4"/>
      <c r="K512" s="12">
        <f t="shared" ref="K512:K575" si="761">(C513-C512)*1000</f>
        <v>106.55170000000003</v>
      </c>
      <c r="L512" s="4"/>
      <c r="M512" s="12">
        <f t="shared" ref="M512:M575" si="762">K512-$L$2</f>
        <v>-7.0627264999999824</v>
      </c>
      <c r="N512" s="12">
        <f t="shared" ref="N512" si="763">M512^2</f>
        <v>49.882105613802004</v>
      </c>
      <c r="O512" s="4"/>
      <c r="P512" s="4"/>
      <c r="Q512" s="4"/>
      <c r="R512" s="4"/>
      <c r="S512" s="4"/>
      <c r="T512" s="4"/>
      <c r="U512" s="4"/>
    </row>
    <row r="513" spans="1:21" ht="15.75" thickBot="1" x14ac:dyDescent="0.3">
      <c r="A513" s="9"/>
      <c r="B513" s="6">
        <v>249</v>
      </c>
      <c r="C513" s="13" t="s">
        <v>1318</v>
      </c>
      <c r="D513" s="6" t="s">
        <v>10</v>
      </c>
      <c r="E513" s="6" t="s">
        <v>11</v>
      </c>
      <c r="F513" s="6" t="s">
        <v>15</v>
      </c>
      <c r="G513" s="6">
        <v>164</v>
      </c>
      <c r="H513" s="6" t="s">
        <v>16</v>
      </c>
      <c r="I513" s="11"/>
      <c r="J513" s="4"/>
      <c r="K513" s="12"/>
      <c r="L513" s="4"/>
      <c r="M513" s="4"/>
      <c r="N513" s="4"/>
      <c r="O513" s="4"/>
      <c r="P513" s="4"/>
      <c r="Q513" s="4"/>
      <c r="R513" s="4"/>
      <c r="S513" s="4"/>
      <c r="T513" s="4"/>
      <c r="U513" s="4"/>
    </row>
    <row r="514" spans="1:21" ht="15.75" thickBot="1" x14ac:dyDescent="0.3">
      <c r="A514" s="8" t="s">
        <v>526</v>
      </c>
      <c r="B514" s="5">
        <v>270</v>
      </c>
      <c r="C514" s="14" t="s">
        <v>1319</v>
      </c>
      <c r="D514" s="5" t="s">
        <v>10</v>
      </c>
      <c r="E514" s="5" t="s">
        <v>11</v>
      </c>
      <c r="F514" s="5" t="s">
        <v>12</v>
      </c>
      <c r="G514" s="5">
        <v>103</v>
      </c>
      <c r="H514" s="5" t="s">
        <v>13</v>
      </c>
      <c r="I514" s="10" t="s">
        <v>527</v>
      </c>
      <c r="J514" s="4"/>
      <c r="K514" s="12">
        <f t="shared" ref="K514:K577" si="764">(C515-C514)*1000</f>
        <v>60.538300000000156</v>
      </c>
      <c r="L514" s="4"/>
      <c r="M514" s="12">
        <f t="shared" ref="M514:M577" si="765">K514-$L$2</f>
        <v>-53.076126499999852</v>
      </c>
      <c r="N514" s="12">
        <f t="shared" ref="N514" si="766">M514^2</f>
        <v>2817.0752042439867</v>
      </c>
      <c r="O514" s="4"/>
      <c r="P514" s="4"/>
      <c r="Q514" s="4"/>
      <c r="R514" s="4"/>
      <c r="S514" s="4"/>
      <c r="T514" s="4"/>
      <c r="U514" s="4"/>
    </row>
    <row r="515" spans="1:21" ht="15.75" thickBot="1" x14ac:dyDescent="0.3">
      <c r="A515" s="9"/>
      <c r="B515" s="6">
        <v>288</v>
      </c>
      <c r="C515" s="13" t="s">
        <v>1320</v>
      </c>
      <c r="D515" s="6" t="s">
        <v>10</v>
      </c>
      <c r="E515" s="6" t="s">
        <v>11</v>
      </c>
      <c r="F515" s="6" t="s">
        <v>15</v>
      </c>
      <c r="G515" s="6">
        <v>164</v>
      </c>
      <c r="H515" s="6" t="s">
        <v>16</v>
      </c>
      <c r="I515" s="11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</row>
    <row r="516" spans="1:21" ht="15.75" thickBot="1" x14ac:dyDescent="0.3">
      <c r="A516" s="8" t="s">
        <v>528</v>
      </c>
      <c r="B516" s="5">
        <v>207</v>
      </c>
      <c r="C516" s="14" t="s">
        <v>1321</v>
      </c>
      <c r="D516" s="5" t="s">
        <v>10</v>
      </c>
      <c r="E516" s="5" t="s">
        <v>11</v>
      </c>
      <c r="F516" s="5" t="s">
        <v>12</v>
      </c>
      <c r="G516" s="5">
        <v>103</v>
      </c>
      <c r="H516" s="5" t="s">
        <v>13</v>
      </c>
      <c r="I516" s="10" t="s">
        <v>529</v>
      </c>
      <c r="J516" s="4"/>
      <c r="K516" s="12">
        <f t="shared" ref="K516:K579" si="767">(C517-C516)*1000</f>
        <v>92.557599999999908</v>
      </c>
      <c r="L516" s="4"/>
      <c r="M516" s="12">
        <f t="shared" ref="M516:M579" si="768">K516-$L$2</f>
        <v>-21.056826500000099</v>
      </c>
      <c r="N516" s="12">
        <f t="shared" ref="N516" si="769">M516^2</f>
        <v>443.38994225110645</v>
      </c>
      <c r="O516" s="4"/>
      <c r="P516" s="4"/>
      <c r="Q516" s="4"/>
      <c r="R516" s="4"/>
      <c r="S516" s="4"/>
      <c r="T516" s="4"/>
      <c r="U516" s="4"/>
    </row>
    <row r="517" spans="1:21" ht="15.75" thickBot="1" x14ac:dyDescent="0.3">
      <c r="A517" s="9"/>
      <c r="B517" s="6">
        <v>229</v>
      </c>
      <c r="C517" s="13" t="s">
        <v>1322</v>
      </c>
      <c r="D517" s="6" t="s">
        <v>10</v>
      </c>
      <c r="E517" s="6" t="s">
        <v>11</v>
      </c>
      <c r="F517" s="6" t="s">
        <v>15</v>
      </c>
      <c r="G517" s="6">
        <v>164</v>
      </c>
      <c r="H517" s="6" t="s">
        <v>16</v>
      </c>
      <c r="I517" s="11"/>
      <c r="J517" s="4"/>
      <c r="K517" s="12"/>
      <c r="L517" s="4"/>
      <c r="M517" s="4"/>
      <c r="N517" s="4"/>
      <c r="O517" s="4"/>
      <c r="P517" s="4"/>
      <c r="Q517" s="4"/>
      <c r="R517" s="4"/>
      <c r="S517" s="4"/>
      <c r="T517" s="4"/>
      <c r="U517" s="4"/>
    </row>
    <row r="518" spans="1:21" ht="15.75" thickBot="1" x14ac:dyDescent="0.3">
      <c r="A518" s="8" t="s">
        <v>530</v>
      </c>
      <c r="B518" s="5">
        <v>298</v>
      </c>
      <c r="C518" s="14" t="s">
        <v>1323</v>
      </c>
      <c r="D518" s="5" t="s">
        <v>10</v>
      </c>
      <c r="E518" s="5" t="s">
        <v>11</v>
      </c>
      <c r="F518" s="5" t="s">
        <v>12</v>
      </c>
      <c r="G518" s="5">
        <v>103</v>
      </c>
      <c r="H518" s="5" t="s">
        <v>13</v>
      </c>
      <c r="I518" s="10" t="s">
        <v>531</v>
      </c>
      <c r="J518" s="4"/>
      <c r="K518" s="12">
        <f t="shared" ref="K518:K581" si="770">(C519-C518)*1000</f>
        <v>165.31690000000009</v>
      </c>
      <c r="L518" s="4"/>
      <c r="M518" s="12">
        <f t="shared" ref="M518:M581" si="771">K518-$L$2</f>
        <v>51.702473500000082</v>
      </c>
      <c r="N518" s="12">
        <f t="shared" ref="N518" si="772">M518^2</f>
        <v>2673.1457660182109</v>
      </c>
      <c r="O518" s="4"/>
      <c r="P518" s="4"/>
      <c r="Q518" s="4"/>
      <c r="R518" s="4"/>
      <c r="S518" s="4"/>
      <c r="T518" s="4"/>
      <c r="U518" s="4"/>
    </row>
    <row r="519" spans="1:21" ht="15.75" thickBot="1" x14ac:dyDescent="0.3">
      <c r="A519" s="9"/>
      <c r="B519" s="6">
        <v>332</v>
      </c>
      <c r="C519" s="13" t="s">
        <v>1324</v>
      </c>
      <c r="D519" s="6" t="s">
        <v>10</v>
      </c>
      <c r="E519" s="6" t="s">
        <v>11</v>
      </c>
      <c r="F519" s="6" t="s">
        <v>15</v>
      </c>
      <c r="G519" s="6">
        <v>164</v>
      </c>
      <c r="H519" s="6" t="s">
        <v>16</v>
      </c>
      <c r="I519" s="11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</row>
    <row r="520" spans="1:21" ht="15.75" thickBot="1" x14ac:dyDescent="0.3">
      <c r="A520" s="8" t="s">
        <v>532</v>
      </c>
      <c r="B520" s="5">
        <v>280</v>
      </c>
      <c r="C520" s="14" t="s">
        <v>1325</v>
      </c>
      <c r="D520" s="5" t="s">
        <v>10</v>
      </c>
      <c r="E520" s="5" t="s">
        <v>11</v>
      </c>
      <c r="F520" s="5" t="s">
        <v>12</v>
      </c>
      <c r="G520" s="5">
        <v>103</v>
      </c>
      <c r="H520" s="5" t="s">
        <v>13</v>
      </c>
      <c r="I520" s="10" t="s">
        <v>533</v>
      </c>
      <c r="J520" s="4"/>
      <c r="K520" s="12">
        <f t="shared" ref="K520:K583" si="773">(C521-C520)*1000</f>
        <v>185.32949999999994</v>
      </c>
      <c r="L520" s="4"/>
      <c r="M520" s="12">
        <f t="shared" ref="M520:M583" si="774">K520-$L$2</f>
        <v>71.715073499999932</v>
      </c>
      <c r="N520" s="12">
        <f t="shared" ref="N520" si="775">M520^2</f>
        <v>5143.0517671103926</v>
      </c>
      <c r="O520" s="4"/>
      <c r="P520" s="4"/>
      <c r="Q520" s="4"/>
      <c r="R520" s="4"/>
      <c r="S520" s="4"/>
      <c r="T520" s="4"/>
      <c r="U520" s="4"/>
    </row>
    <row r="521" spans="1:21" ht="15.75" thickBot="1" x14ac:dyDescent="0.3">
      <c r="A521" s="9"/>
      <c r="B521" s="6">
        <v>322</v>
      </c>
      <c r="C521" s="13" t="s">
        <v>1326</v>
      </c>
      <c r="D521" s="6" t="s">
        <v>10</v>
      </c>
      <c r="E521" s="6" t="s">
        <v>11</v>
      </c>
      <c r="F521" s="6" t="s">
        <v>15</v>
      </c>
      <c r="G521" s="6">
        <v>164</v>
      </c>
      <c r="H521" s="6" t="s">
        <v>16</v>
      </c>
      <c r="I521" s="11"/>
      <c r="J521" s="4"/>
      <c r="K521" s="12"/>
      <c r="L521" s="4"/>
      <c r="M521" s="4"/>
      <c r="N521" s="4"/>
      <c r="O521" s="4"/>
      <c r="P521" s="4"/>
      <c r="Q521" s="4"/>
      <c r="R521" s="4"/>
      <c r="S521" s="4"/>
      <c r="T521" s="4"/>
      <c r="U521" s="4"/>
    </row>
    <row r="522" spans="1:21" ht="15.75" thickBot="1" x14ac:dyDescent="0.3">
      <c r="A522" s="8" t="s">
        <v>534</v>
      </c>
      <c r="B522" s="5">
        <v>202</v>
      </c>
      <c r="C522" s="14" t="s">
        <v>1327</v>
      </c>
      <c r="D522" s="5" t="s">
        <v>10</v>
      </c>
      <c r="E522" s="5" t="s">
        <v>11</v>
      </c>
      <c r="F522" s="5" t="s">
        <v>12</v>
      </c>
      <c r="G522" s="5">
        <v>103</v>
      </c>
      <c r="H522" s="5" t="s">
        <v>13</v>
      </c>
      <c r="I522" s="10" t="s">
        <v>535</v>
      </c>
      <c r="J522" s="4"/>
      <c r="K522" s="12">
        <f t="shared" ref="K522:K585" si="776">(C523-C522)*1000</f>
        <v>77.425199999999975</v>
      </c>
      <c r="L522" s="4"/>
      <c r="M522" s="12">
        <f t="shared" ref="M522:M585" si="777">K522-$L$2</f>
        <v>-36.189226500000032</v>
      </c>
      <c r="N522" s="12">
        <f t="shared" ref="N522" si="778">M522^2</f>
        <v>1309.6601146683047</v>
      </c>
      <c r="O522" s="4"/>
      <c r="P522" s="4"/>
      <c r="Q522" s="4"/>
      <c r="R522" s="4"/>
      <c r="S522" s="4"/>
      <c r="T522" s="4"/>
      <c r="U522" s="4"/>
    </row>
    <row r="523" spans="1:21" ht="15.75" thickBot="1" x14ac:dyDescent="0.3">
      <c r="A523" s="9"/>
      <c r="B523" s="6">
        <v>226</v>
      </c>
      <c r="C523" s="13" t="s">
        <v>1328</v>
      </c>
      <c r="D523" s="6" t="s">
        <v>10</v>
      </c>
      <c r="E523" s="6" t="s">
        <v>11</v>
      </c>
      <c r="F523" s="6" t="s">
        <v>15</v>
      </c>
      <c r="G523" s="6">
        <v>164</v>
      </c>
      <c r="H523" s="6" t="s">
        <v>16</v>
      </c>
      <c r="I523" s="11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</row>
    <row r="524" spans="1:21" ht="15.75" thickBot="1" x14ac:dyDescent="0.3">
      <c r="A524" s="8" t="s">
        <v>536</v>
      </c>
      <c r="B524" s="5">
        <v>269</v>
      </c>
      <c r="C524" s="14" t="s">
        <v>1329</v>
      </c>
      <c r="D524" s="5" t="s">
        <v>10</v>
      </c>
      <c r="E524" s="5" t="s">
        <v>11</v>
      </c>
      <c r="F524" s="5" t="s">
        <v>12</v>
      </c>
      <c r="G524" s="5">
        <v>103</v>
      </c>
      <c r="H524" s="5" t="s">
        <v>13</v>
      </c>
      <c r="I524" s="10" t="s">
        <v>537</v>
      </c>
      <c r="J524" s="4"/>
      <c r="K524" s="12">
        <f t="shared" ref="K524:K587" si="779">(C525-C524)*1000</f>
        <v>138.02889999999991</v>
      </c>
      <c r="L524" s="4"/>
      <c r="M524" s="12">
        <f t="shared" ref="M524:M587" si="780">K524-$L$2</f>
        <v>24.4144734999999</v>
      </c>
      <c r="N524" s="12">
        <f t="shared" ref="N524" si="781">M524^2</f>
        <v>596.06651628219743</v>
      </c>
      <c r="O524" s="4"/>
      <c r="P524" s="4"/>
      <c r="Q524" s="4"/>
      <c r="R524" s="4"/>
      <c r="S524" s="4"/>
      <c r="T524" s="4"/>
      <c r="U524" s="4"/>
    </row>
    <row r="525" spans="1:21" ht="15.75" thickBot="1" x14ac:dyDescent="0.3">
      <c r="A525" s="9"/>
      <c r="B525" s="6">
        <v>299</v>
      </c>
      <c r="C525" s="13" t="s">
        <v>1330</v>
      </c>
      <c r="D525" s="6" t="s">
        <v>10</v>
      </c>
      <c r="E525" s="6" t="s">
        <v>11</v>
      </c>
      <c r="F525" s="6" t="s">
        <v>15</v>
      </c>
      <c r="G525" s="6">
        <v>164</v>
      </c>
      <c r="H525" s="6" t="s">
        <v>16</v>
      </c>
      <c r="I525" s="11"/>
      <c r="J525" s="4"/>
      <c r="K525" s="12"/>
      <c r="L525" s="4"/>
      <c r="M525" s="4"/>
      <c r="N525" s="4"/>
      <c r="O525" s="4"/>
      <c r="P525" s="4"/>
      <c r="Q525" s="4"/>
      <c r="R525" s="4"/>
      <c r="S525" s="4"/>
      <c r="T525" s="4"/>
      <c r="U525" s="4"/>
    </row>
    <row r="526" spans="1:21" ht="15.75" thickBot="1" x14ac:dyDescent="0.3">
      <c r="A526" s="8" t="s">
        <v>538</v>
      </c>
      <c r="B526" s="5">
        <v>261</v>
      </c>
      <c r="C526" s="14" t="s">
        <v>1331</v>
      </c>
      <c r="D526" s="5" t="s">
        <v>10</v>
      </c>
      <c r="E526" s="5" t="s">
        <v>11</v>
      </c>
      <c r="F526" s="5" t="s">
        <v>12</v>
      </c>
      <c r="G526" s="5">
        <v>103</v>
      </c>
      <c r="H526" s="5" t="s">
        <v>13</v>
      </c>
      <c r="I526" s="10" t="s">
        <v>539</v>
      </c>
      <c r="J526" s="4"/>
      <c r="K526" s="12">
        <f t="shared" ref="K526:K589" si="782">(C527-C526)*1000</f>
        <v>161.2674999999999</v>
      </c>
      <c r="L526" s="4"/>
      <c r="M526" s="12">
        <f t="shared" ref="M526:M589" si="783">K526-$L$2</f>
        <v>47.653073499999891</v>
      </c>
      <c r="N526" s="12">
        <f t="shared" ref="N526" si="784">M526^2</f>
        <v>2270.8154139963917</v>
      </c>
      <c r="O526" s="4"/>
      <c r="P526" s="4"/>
      <c r="Q526" s="4"/>
      <c r="R526" s="4"/>
      <c r="S526" s="4"/>
      <c r="T526" s="4"/>
      <c r="U526" s="4"/>
    </row>
    <row r="527" spans="1:21" ht="15.75" thickBot="1" x14ac:dyDescent="0.3">
      <c r="A527" s="9"/>
      <c r="B527" s="6">
        <v>291</v>
      </c>
      <c r="C527" s="13" t="s">
        <v>1332</v>
      </c>
      <c r="D527" s="6" t="s">
        <v>10</v>
      </c>
      <c r="E527" s="6" t="s">
        <v>11</v>
      </c>
      <c r="F527" s="6" t="s">
        <v>15</v>
      </c>
      <c r="G527" s="6">
        <v>164</v>
      </c>
      <c r="H527" s="6" t="s">
        <v>16</v>
      </c>
      <c r="I527" s="11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</row>
    <row r="528" spans="1:21" ht="15.75" thickBot="1" x14ac:dyDescent="0.3">
      <c r="A528" s="8" t="s">
        <v>540</v>
      </c>
      <c r="B528" s="5">
        <v>219</v>
      </c>
      <c r="C528" s="14" t="s">
        <v>1333</v>
      </c>
      <c r="D528" s="5" t="s">
        <v>10</v>
      </c>
      <c r="E528" s="5" t="s">
        <v>11</v>
      </c>
      <c r="F528" s="5" t="s">
        <v>12</v>
      </c>
      <c r="G528" s="5">
        <v>103</v>
      </c>
      <c r="H528" s="5" t="s">
        <v>13</v>
      </c>
      <c r="I528" s="10" t="s">
        <v>541</v>
      </c>
      <c r="J528" s="4"/>
      <c r="K528" s="12">
        <f t="shared" ref="K528:K591" si="785">(C529-C528)*1000</f>
        <v>93.14860000000013</v>
      </c>
      <c r="L528" s="4"/>
      <c r="M528" s="12">
        <f t="shared" ref="M528:M591" si="786">K528-$L$2</f>
        <v>-20.465826499999878</v>
      </c>
      <c r="N528" s="12">
        <f t="shared" ref="N528" si="787">M528^2</f>
        <v>418.85005432809726</v>
      </c>
      <c r="O528" s="4"/>
      <c r="P528" s="4"/>
      <c r="Q528" s="4"/>
      <c r="R528" s="4"/>
      <c r="S528" s="4"/>
      <c r="T528" s="4"/>
      <c r="U528" s="4"/>
    </row>
    <row r="529" spans="1:21" ht="15.75" thickBot="1" x14ac:dyDescent="0.3">
      <c r="A529" s="9"/>
      <c r="B529" s="6">
        <v>246</v>
      </c>
      <c r="C529" s="13" t="s">
        <v>1344</v>
      </c>
      <c r="D529" s="6" t="s">
        <v>10</v>
      </c>
      <c r="E529" s="6" t="s">
        <v>11</v>
      </c>
      <c r="F529" s="6" t="s">
        <v>15</v>
      </c>
      <c r="G529" s="6">
        <v>164</v>
      </c>
      <c r="H529" s="6" t="s">
        <v>16</v>
      </c>
      <c r="I529" s="11"/>
      <c r="J529" s="4"/>
      <c r="K529" s="12"/>
      <c r="L529" s="4"/>
      <c r="M529" s="4"/>
      <c r="N529" s="4"/>
      <c r="O529" s="4"/>
      <c r="P529" s="4"/>
      <c r="Q529" s="4"/>
      <c r="R529" s="4"/>
      <c r="S529" s="4"/>
      <c r="T529" s="4"/>
      <c r="U529" s="4"/>
    </row>
    <row r="530" spans="1:21" ht="15.75" thickBot="1" x14ac:dyDescent="0.3">
      <c r="A530" s="8" t="s">
        <v>542</v>
      </c>
      <c r="B530" s="5">
        <v>219</v>
      </c>
      <c r="C530" s="14" t="s">
        <v>1342</v>
      </c>
      <c r="D530" s="5" t="s">
        <v>10</v>
      </c>
      <c r="E530" s="5" t="s">
        <v>11</v>
      </c>
      <c r="F530" s="5" t="s">
        <v>12</v>
      </c>
      <c r="G530" s="5">
        <v>103</v>
      </c>
      <c r="H530" s="5" t="s">
        <v>13</v>
      </c>
      <c r="I530" s="10" t="s">
        <v>543</v>
      </c>
      <c r="J530" s="4"/>
      <c r="K530" s="12">
        <f t="shared" ref="K530:K593" si="788">(C531-C530)*1000</f>
        <v>130.30670000000001</v>
      </c>
      <c r="L530" s="4"/>
      <c r="M530" s="12">
        <f t="shared" ref="M530:M593" si="789">K530-$L$2</f>
        <v>16.692273499999999</v>
      </c>
      <c r="N530" s="12">
        <f t="shared" ref="N530" si="790">M530^2</f>
        <v>278.63199459880224</v>
      </c>
      <c r="O530" s="4"/>
      <c r="P530" s="4"/>
      <c r="Q530" s="4"/>
      <c r="R530" s="4"/>
      <c r="S530" s="4"/>
      <c r="T530" s="4"/>
      <c r="U530" s="4"/>
    </row>
    <row r="531" spans="1:21" ht="15.75" thickBot="1" x14ac:dyDescent="0.3">
      <c r="A531" s="9"/>
      <c r="B531" s="6">
        <v>253</v>
      </c>
      <c r="C531" s="13" t="s">
        <v>1343</v>
      </c>
      <c r="D531" s="6" t="s">
        <v>10</v>
      </c>
      <c r="E531" s="6" t="s">
        <v>11</v>
      </c>
      <c r="F531" s="6" t="s">
        <v>15</v>
      </c>
      <c r="G531" s="6">
        <v>164</v>
      </c>
      <c r="H531" s="6" t="s">
        <v>16</v>
      </c>
      <c r="I531" s="11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</row>
    <row r="532" spans="1:21" ht="15.75" thickBot="1" x14ac:dyDescent="0.3">
      <c r="A532" s="8" t="s">
        <v>544</v>
      </c>
      <c r="B532" s="5">
        <v>206</v>
      </c>
      <c r="C532" s="14" t="s">
        <v>1345</v>
      </c>
      <c r="D532" s="5" t="s">
        <v>10</v>
      </c>
      <c r="E532" s="5" t="s">
        <v>11</v>
      </c>
      <c r="F532" s="5" t="s">
        <v>12</v>
      </c>
      <c r="G532" s="5">
        <v>103</v>
      </c>
      <c r="H532" s="5" t="s">
        <v>13</v>
      </c>
      <c r="I532" s="10" t="s">
        <v>545</v>
      </c>
      <c r="J532" s="4"/>
      <c r="K532" s="12">
        <f t="shared" ref="K532:K595" si="791">(C533-C532)*1000</f>
        <v>108.30959999999989</v>
      </c>
      <c r="L532" s="4"/>
      <c r="M532" s="12">
        <f t="shared" ref="M532:M595" si="792">K532-$L$2</f>
        <v>-5.304826500000118</v>
      </c>
      <c r="N532" s="12">
        <f t="shared" ref="N532" si="793">M532^2</f>
        <v>28.141184195103502</v>
      </c>
      <c r="O532" s="4"/>
      <c r="P532" s="4"/>
      <c r="Q532" s="4"/>
      <c r="R532" s="4"/>
      <c r="S532" s="4"/>
      <c r="T532" s="4"/>
      <c r="U532" s="4"/>
    </row>
    <row r="533" spans="1:21" ht="15.75" thickBot="1" x14ac:dyDescent="0.3">
      <c r="A533" s="9"/>
      <c r="B533" s="6">
        <v>236</v>
      </c>
      <c r="C533" s="13" t="s">
        <v>1346</v>
      </c>
      <c r="D533" s="6" t="s">
        <v>10</v>
      </c>
      <c r="E533" s="6" t="s">
        <v>11</v>
      </c>
      <c r="F533" s="6" t="s">
        <v>15</v>
      </c>
      <c r="G533" s="6">
        <v>164</v>
      </c>
      <c r="H533" s="6" t="s">
        <v>16</v>
      </c>
      <c r="I533" s="11"/>
      <c r="J533" s="4"/>
      <c r="K533" s="12"/>
      <c r="L533" s="4"/>
      <c r="M533" s="4"/>
      <c r="N533" s="4"/>
      <c r="O533" s="4"/>
      <c r="P533" s="4"/>
      <c r="Q533" s="4"/>
      <c r="R533" s="4"/>
      <c r="S533" s="4"/>
      <c r="T533" s="4"/>
      <c r="U533" s="4"/>
    </row>
    <row r="534" spans="1:21" ht="15.75" thickBot="1" x14ac:dyDescent="0.3">
      <c r="A534" s="8" t="s">
        <v>546</v>
      </c>
      <c r="B534" s="5">
        <v>181</v>
      </c>
      <c r="C534" s="14" t="s">
        <v>1334</v>
      </c>
      <c r="D534" s="5" t="s">
        <v>10</v>
      </c>
      <c r="E534" s="5" t="s">
        <v>11</v>
      </c>
      <c r="F534" s="5" t="s">
        <v>12</v>
      </c>
      <c r="G534" s="5">
        <v>103</v>
      </c>
      <c r="H534" s="5" t="s">
        <v>13</v>
      </c>
      <c r="I534" s="10" t="s">
        <v>547</v>
      </c>
      <c r="J534" s="4"/>
      <c r="K534" s="12">
        <f t="shared" ref="K534:K597" si="794">(C535-C534)*1000</f>
        <v>112.50699999999992</v>
      </c>
      <c r="L534" s="4"/>
      <c r="M534" s="12">
        <f t="shared" ref="M534:M597" si="795">K534-$L$2</f>
        <v>-1.1074265000000878</v>
      </c>
      <c r="N534" s="12">
        <f t="shared" ref="N534" si="796">M534^2</f>
        <v>1.2263934529024445</v>
      </c>
      <c r="O534" s="4"/>
      <c r="P534" s="4"/>
      <c r="Q534" s="4"/>
      <c r="R534" s="4"/>
      <c r="S534" s="4"/>
      <c r="T534" s="4"/>
      <c r="U534" s="4"/>
    </row>
    <row r="535" spans="1:21" ht="15.75" thickBot="1" x14ac:dyDescent="0.3">
      <c r="A535" s="9"/>
      <c r="B535" s="6">
        <v>207</v>
      </c>
      <c r="C535" s="13" t="s">
        <v>1335</v>
      </c>
      <c r="D535" s="6" t="s">
        <v>10</v>
      </c>
      <c r="E535" s="6" t="s">
        <v>11</v>
      </c>
      <c r="F535" s="6" t="s">
        <v>15</v>
      </c>
      <c r="G535" s="6">
        <v>164</v>
      </c>
      <c r="H535" s="6" t="s">
        <v>16</v>
      </c>
      <c r="I535" s="11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</row>
    <row r="536" spans="1:21" ht="15.75" thickBot="1" x14ac:dyDescent="0.3">
      <c r="A536" s="8" t="s">
        <v>548</v>
      </c>
      <c r="B536" s="5">
        <v>232</v>
      </c>
      <c r="C536" s="14" t="s">
        <v>1336</v>
      </c>
      <c r="D536" s="5" t="s">
        <v>10</v>
      </c>
      <c r="E536" s="5" t="s">
        <v>11</v>
      </c>
      <c r="F536" s="5" t="s">
        <v>12</v>
      </c>
      <c r="G536" s="5">
        <v>103</v>
      </c>
      <c r="H536" s="5" t="s">
        <v>13</v>
      </c>
      <c r="I536" s="10" t="s">
        <v>549</v>
      </c>
      <c r="J536" s="4"/>
      <c r="K536" s="12">
        <f t="shared" ref="K536:K599" si="797">(C537-C536)*1000</f>
        <v>172.06489999999985</v>
      </c>
      <c r="L536" s="4"/>
      <c r="M536" s="12">
        <f t="shared" ref="M536:M599" si="798">K536-$L$2</f>
        <v>58.450473499999845</v>
      </c>
      <c r="N536" s="12">
        <f t="shared" ref="N536" si="799">M536^2</f>
        <v>3416.4578523741843</v>
      </c>
      <c r="O536" s="4"/>
      <c r="P536" s="4"/>
      <c r="Q536" s="4"/>
      <c r="R536" s="4"/>
      <c r="S536" s="4"/>
      <c r="T536" s="4"/>
      <c r="U536" s="4"/>
    </row>
    <row r="537" spans="1:21" ht="15.75" thickBot="1" x14ac:dyDescent="0.3">
      <c r="A537" s="9"/>
      <c r="B537" s="6">
        <v>264</v>
      </c>
      <c r="C537" s="13" t="s">
        <v>1337</v>
      </c>
      <c r="D537" s="6" t="s">
        <v>10</v>
      </c>
      <c r="E537" s="6" t="s">
        <v>11</v>
      </c>
      <c r="F537" s="6" t="s">
        <v>15</v>
      </c>
      <c r="G537" s="6">
        <v>164</v>
      </c>
      <c r="H537" s="6" t="s">
        <v>16</v>
      </c>
      <c r="I537" s="11"/>
      <c r="J537" s="4"/>
      <c r="K537" s="12"/>
      <c r="L537" s="4"/>
      <c r="M537" s="4"/>
      <c r="N537" s="4"/>
      <c r="O537" s="4"/>
      <c r="P537" s="4"/>
      <c r="Q537" s="4"/>
      <c r="R537" s="4"/>
      <c r="S537" s="4"/>
      <c r="T537" s="4"/>
      <c r="U537" s="4"/>
    </row>
    <row r="538" spans="1:21" ht="15.75" thickBot="1" x14ac:dyDescent="0.3">
      <c r="A538" s="8" t="s">
        <v>550</v>
      </c>
      <c r="B538" s="5">
        <v>315</v>
      </c>
      <c r="C538" s="14" t="s">
        <v>1338</v>
      </c>
      <c r="D538" s="5" t="s">
        <v>10</v>
      </c>
      <c r="E538" s="5" t="s">
        <v>11</v>
      </c>
      <c r="F538" s="5" t="s">
        <v>12</v>
      </c>
      <c r="G538" s="5">
        <v>103</v>
      </c>
      <c r="H538" s="5" t="s">
        <v>13</v>
      </c>
      <c r="I538" s="10" t="s">
        <v>551</v>
      </c>
      <c r="J538" s="4"/>
      <c r="K538" s="12">
        <f t="shared" ref="K538:K601" si="800">(C539-C538)*1000</f>
        <v>42.605299999999957</v>
      </c>
      <c r="L538" s="4"/>
      <c r="M538" s="12">
        <f t="shared" ref="M538:M601" si="801">K538-$L$2</f>
        <v>-71.00912650000005</v>
      </c>
      <c r="N538" s="12">
        <f t="shared" ref="N538" si="802">M538^2</f>
        <v>5042.2960462930096</v>
      </c>
      <c r="O538" s="4"/>
      <c r="P538" s="4"/>
      <c r="Q538" s="4"/>
      <c r="R538" s="4"/>
      <c r="S538" s="4"/>
      <c r="T538" s="4"/>
      <c r="U538" s="4"/>
    </row>
    <row r="539" spans="1:21" ht="15.75" thickBot="1" x14ac:dyDescent="0.3">
      <c r="A539" s="9"/>
      <c r="B539" s="6">
        <v>328</v>
      </c>
      <c r="C539" s="13" t="s">
        <v>1339</v>
      </c>
      <c r="D539" s="6" t="s">
        <v>10</v>
      </c>
      <c r="E539" s="6" t="s">
        <v>11</v>
      </c>
      <c r="F539" s="6" t="s">
        <v>15</v>
      </c>
      <c r="G539" s="6">
        <v>164</v>
      </c>
      <c r="H539" s="6" t="s">
        <v>16</v>
      </c>
      <c r="I539" s="11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</row>
    <row r="540" spans="1:21" ht="15.75" thickBot="1" x14ac:dyDescent="0.3">
      <c r="A540" s="8" t="s">
        <v>552</v>
      </c>
      <c r="B540" s="5">
        <v>314</v>
      </c>
      <c r="C540" s="14" t="s">
        <v>1340</v>
      </c>
      <c r="D540" s="5" t="s">
        <v>10</v>
      </c>
      <c r="E540" s="5" t="s">
        <v>11</v>
      </c>
      <c r="F540" s="5" t="s">
        <v>12</v>
      </c>
      <c r="G540" s="5">
        <v>103</v>
      </c>
      <c r="H540" s="5" t="s">
        <v>13</v>
      </c>
      <c r="I540" s="10" t="s">
        <v>553</v>
      </c>
      <c r="J540" s="4"/>
      <c r="K540" s="12">
        <f t="shared" ref="K540:K603" si="803">(C541-C540)*1000</f>
        <v>72.572899999999947</v>
      </c>
      <c r="L540" s="4"/>
      <c r="M540" s="12">
        <f t="shared" ref="M540:M603" si="804">K540-$L$2</f>
        <v>-41.04152650000006</v>
      </c>
      <c r="N540" s="12">
        <f t="shared" ref="N540" si="805">M540^2</f>
        <v>1684.4068974502072</v>
      </c>
      <c r="O540" s="4"/>
      <c r="P540" s="4"/>
      <c r="Q540" s="4"/>
      <c r="R540" s="4"/>
      <c r="S540" s="4"/>
      <c r="T540" s="4"/>
      <c r="U540" s="4"/>
    </row>
    <row r="541" spans="1:21" ht="15.75" thickBot="1" x14ac:dyDescent="0.3">
      <c r="A541" s="9"/>
      <c r="B541" s="6">
        <v>334</v>
      </c>
      <c r="C541" s="13" t="s">
        <v>1341</v>
      </c>
      <c r="D541" s="6" t="s">
        <v>10</v>
      </c>
      <c r="E541" s="6" t="s">
        <v>11</v>
      </c>
      <c r="F541" s="6" t="s">
        <v>15</v>
      </c>
      <c r="G541" s="6">
        <v>164</v>
      </c>
      <c r="H541" s="6" t="s">
        <v>16</v>
      </c>
      <c r="I541" s="11"/>
      <c r="J541" s="4"/>
      <c r="K541" s="12"/>
      <c r="L541" s="4"/>
      <c r="M541" s="4"/>
      <c r="N541" s="4"/>
      <c r="O541" s="4"/>
      <c r="P541" s="4"/>
      <c r="Q541" s="4"/>
      <c r="R541" s="4"/>
      <c r="S541" s="4"/>
      <c r="T541" s="4"/>
      <c r="U541" s="4"/>
    </row>
    <row r="542" spans="1:21" ht="15.75" thickBot="1" x14ac:dyDescent="0.3">
      <c r="A542" s="8" t="s">
        <v>554</v>
      </c>
      <c r="B542" s="5">
        <v>291</v>
      </c>
      <c r="C542" s="14" t="s">
        <v>1347</v>
      </c>
      <c r="D542" s="5" t="s">
        <v>10</v>
      </c>
      <c r="E542" s="5" t="s">
        <v>11</v>
      </c>
      <c r="F542" s="5" t="s">
        <v>12</v>
      </c>
      <c r="G542" s="5">
        <v>103</v>
      </c>
      <c r="H542" s="5" t="s">
        <v>13</v>
      </c>
      <c r="I542" s="10" t="s">
        <v>555</v>
      </c>
      <c r="J542" s="4"/>
      <c r="K542" s="12">
        <f t="shared" ref="K542:K605" si="806">(C543-C542)*1000</f>
        <v>108.04330000000006</v>
      </c>
      <c r="L542" s="4"/>
      <c r="M542" s="12">
        <f t="shared" ref="M542:M605" si="807">K542-$L$2</f>
        <v>-5.5711264999999486</v>
      </c>
      <c r="N542" s="12">
        <f t="shared" ref="N542" si="808">M542^2</f>
        <v>31.037450479001677</v>
      </c>
      <c r="O542" s="4"/>
      <c r="P542" s="4"/>
      <c r="Q542" s="4"/>
      <c r="R542" s="4"/>
      <c r="S542" s="4"/>
      <c r="T542" s="4"/>
      <c r="U542" s="4"/>
    </row>
    <row r="543" spans="1:21" ht="15.75" thickBot="1" x14ac:dyDescent="0.3">
      <c r="A543" s="9"/>
      <c r="B543" s="6">
        <v>313</v>
      </c>
      <c r="C543" s="13" t="s">
        <v>1348</v>
      </c>
      <c r="D543" s="6" t="s">
        <v>10</v>
      </c>
      <c r="E543" s="6" t="s">
        <v>11</v>
      </c>
      <c r="F543" s="6" t="s">
        <v>15</v>
      </c>
      <c r="G543" s="6">
        <v>164</v>
      </c>
      <c r="H543" s="6" t="s">
        <v>16</v>
      </c>
      <c r="I543" s="11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</row>
    <row r="544" spans="1:21" ht="15.75" thickBot="1" x14ac:dyDescent="0.3">
      <c r="A544" s="8" t="s">
        <v>556</v>
      </c>
      <c r="B544" s="5">
        <v>294</v>
      </c>
      <c r="C544" s="14" t="s">
        <v>1349</v>
      </c>
      <c r="D544" s="5" t="s">
        <v>10</v>
      </c>
      <c r="E544" s="5" t="s">
        <v>11</v>
      </c>
      <c r="F544" s="5" t="s">
        <v>12</v>
      </c>
      <c r="G544" s="5">
        <v>103</v>
      </c>
      <c r="H544" s="5" t="s">
        <v>13</v>
      </c>
      <c r="I544" s="10" t="s">
        <v>557</v>
      </c>
      <c r="J544" s="4"/>
      <c r="K544" s="12">
        <f t="shared" ref="K544:K607" si="809">(C545-C544)*1000</f>
        <v>43.810600000000036</v>
      </c>
      <c r="L544" s="4"/>
      <c r="M544" s="12">
        <f t="shared" ref="M544:M607" si="810">K544-$L$2</f>
        <v>-69.803826499999971</v>
      </c>
      <c r="N544" s="12">
        <f t="shared" ref="N544" si="811">M544^2</f>
        <v>4872.5741940420985</v>
      </c>
      <c r="O544" s="4"/>
      <c r="P544" s="4"/>
      <c r="Q544" s="4"/>
      <c r="R544" s="4"/>
      <c r="S544" s="4"/>
      <c r="T544" s="4"/>
      <c r="U544" s="4"/>
    </row>
    <row r="545" spans="1:21" ht="15.75" thickBot="1" x14ac:dyDescent="0.3">
      <c r="A545" s="9"/>
      <c r="B545" s="6">
        <v>304</v>
      </c>
      <c r="C545" s="13" t="s">
        <v>1350</v>
      </c>
      <c r="D545" s="6" t="s">
        <v>10</v>
      </c>
      <c r="E545" s="6" t="s">
        <v>11</v>
      </c>
      <c r="F545" s="6" t="s">
        <v>15</v>
      </c>
      <c r="G545" s="6">
        <v>164</v>
      </c>
      <c r="H545" s="6" t="s">
        <v>16</v>
      </c>
      <c r="I545" s="11"/>
      <c r="J545" s="4"/>
      <c r="K545" s="12"/>
      <c r="L545" s="4"/>
      <c r="M545" s="4"/>
      <c r="N545" s="4"/>
      <c r="O545" s="4"/>
      <c r="P545" s="4"/>
      <c r="Q545" s="4"/>
      <c r="R545" s="4"/>
      <c r="S545" s="4"/>
      <c r="T545" s="4"/>
      <c r="U545" s="4"/>
    </row>
    <row r="546" spans="1:21" ht="15.75" thickBot="1" x14ac:dyDescent="0.3">
      <c r="A546" s="8" t="s">
        <v>558</v>
      </c>
      <c r="B546" s="5">
        <v>251</v>
      </c>
      <c r="C546" s="14" t="s">
        <v>1351</v>
      </c>
      <c r="D546" s="5" t="s">
        <v>10</v>
      </c>
      <c r="E546" s="5" t="s">
        <v>11</v>
      </c>
      <c r="F546" s="5" t="s">
        <v>12</v>
      </c>
      <c r="G546" s="5">
        <v>103</v>
      </c>
      <c r="H546" s="5" t="s">
        <v>13</v>
      </c>
      <c r="I546" s="10" t="s">
        <v>559</v>
      </c>
      <c r="J546" s="4"/>
      <c r="K546" s="12">
        <f t="shared" ref="K546:K609" si="812">(C547-C546)*1000</f>
        <v>79.889300000000048</v>
      </c>
      <c r="L546" s="4"/>
      <c r="M546" s="12">
        <f t="shared" ref="M546:M609" si="813">K546-$L$2</f>
        <v>-33.725126499999959</v>
      </c>
      <c r="N546" s="12">
        <f t="shared" ref="N546" si="814">M546^2</f>
        <v>1137.3841574409994</v>
      </c>
      <c r="O546" s="4"/>
      <c r="P546" s="4"/>
      <c r="Q546" s="4"/>
      <c r="R546" s="4"/>
      <c r="S546" s="4"/>
      <c r="T546" s="4"/>
      <c r="U546" s="4"/>
    </row>
    <row r="547" spans="1:21" ht="15.75" thickBot="1" x14ac:dyDescent="0.3">
      <c r="A547" s="9"/>
      <c r="B547" s="6">
        <v>276</v>
      </c>
      <c r="C547" s="13" t="s">
        <v>1352</v>
      </c>
      <c r="D547" s="6" t="s">
        <v>10</v>
      </c>
      <c r="E547" s="6" t="s">
        <v>11</v>
      </c>
      <c r="F547" s="6" t="s">
        <v>15</v>
      </c>
      <c r="G547" s="6">
        <v>164</v>
      </c>
      <c r="H547" s="6" t="s">
        <v>16</v>
      </c>
      <c r="I547" s="11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</row>
    <row r="548" spans="1:21" ht="15.75" thickBot="1" x14ac:dyDescent="0.3">
      <c r="A548" s="8" t="s">
        <v>560</v>
      </c>
      <c r="B548" s="5">
        <v>303</v>
      </c>
      <c r="C548" s="14" t="s">
        <v>1353</v>
      </c>
      <c r="D548" s="5" t="s">
        <v>10</v>
      </c>
      <c r="E548" s="5" t="s">
        <v>11</v>
      </c>
      <c r="F548" s="5" t="s">
        <v>12</v>
      </c>
      <c r="G548" s="5">
        <v>103</v>
      </c>
      <c r="H548" s="5" t="s">
        <v>13</v>
      </c>
      <c r="I548" s="10" t="s">
        <v>561</v>
      </c>
      <c r="J548" s="4"/>
      <c r="K548" s="12">
        <f t="shared" ref="K548:K611" si="815">(C549-C548)*1000</f>
        <v>168.40339999999986</v>
      </c>
      <c r="L548" s="4"/>
      <c r="M548" s="12">
        <f t="shared" ref="M548:M611" si="816">K548-$L$2</f>
        <v>54.788973499999855</v>
      </c>
      <c r="N548" s="12">
        <f t="shared" ref="N548" si="817">M548^2</f>
        <v>3001.8316171836864</v>
      </c>
      <c r="O548" s="4"/>
      <c r="P548" s="4"/>
      <c r="Q548" s="4"/>
      <c r="R548" s="4"/>
      <c r="S548" s="4"/>
      <c r="T548" s="4"/>
      <c r="U548" s="4"/>
    </row>
    <row r="549" spans="1:21" ht="15.75" thickBot="1" x14ac:dyDescent="0.3">
      <c r="A549" s="9"/>
      <c r="B549" s="6">
        <v>338</v>
      </c>
      <c r="C549" s="13" t="s">
        <v>1354</v>
      </c>
      <c r="D549" s="6" t="s">
        <v>10</v>
      </c>
      <c r="E549" s="6" t="s">
        <v>11</v>
      </c>
      <c r="F549" s="6" t="s">
        <v>15</v>
      </c>
      <c r="G549" s="6">
        <v>164</v>
      </c>
      <c r="H549" s="6" t="s">
        <v>16</v>
      </c>
      <c r="I549" s="11"/>
      <c r="J549" s="4"/>
      <c r="K549" s="12"/>
      <c r="L549" s="4"/>
      <c r="M549" s="4"/>
      <c r="N549" s="4"/>
      <c r="O549" s="4"/>
      <c r="P549" s="4"/>
      <c r="Q549" s="4"/>
      <c r="R549" s="4"/>
      <c r="S549" s="4"/>
      <c r="T549" s="4"/>
      <c r="U549" s="4"/>
    </row>
    <row r="550" spans="1:21" ht="15.75" thickBot="1" x14ac:dyDescent="0.3">
      <c r="A550" s="8" t="s">
        <v>562</v>
      </c>
      <c r="B550" s="5">
        <v>297</v>
      </c>
      <c r="C550" s="14" t="s">
        <v>1355</v>
      </c>
      <c r="D550" s="5" t="s">
        <v>10</v>
      </c>
      <c r="E550" s="5" t="s">
        <v>11</v>
      </c>
      <c r="F550" s="5" t="s">
        <v>12</v>
      </c>
      <c r="G550" s="5">
        <v>103</v>
      </c>
      <c r="H550" s="5" t="s">
        <v>13</v>
      </c>
      <c r="I550" s="10" t="s">
        <v>563</v>
      </c>
      <c r="J550" s="4"/>
      <c r="K550" s="12">
        <f t="shared" ref="K550:K613" si="818">(C551-C550)*1000</f>
        <v>152.31630000000007</v>
      </c>
      <c r="L550" s="4"/>
      <c r="M550" s="12">
        <f t="shared" ref="M550:M613" si="819">K550-$L$2</f>
        <v>38.701873500000062</v>
      </c>
      <c r="N550" s="12">
        <f t="shared" ref="N550" si="820">M550^2</f>
        <v>1497.835012410007</v>
      </c>
      <c r="O550" s="4"/>
      <c r="P550" s="4"/>
      <c r="Q550" s="4"/>
      <c r="R550" s="4"/>
      <c r="S550" s="4"/>
      <c r="T550" s="4"/>
      <c r="U550" s="4"/>
    </row>
    <row r="551" spans="1:21" ht="15.75" thickBot="1" x14ac:dyDescent="0.3">
      <c r="A551" s="9"/>
      <c r="B551" s="6">
        <v>331</v>
      </c>
      <c r="C551" s="13" t="s">
        <v>1356</v>
      </c>
      <c r="D551" s="6" t="s">
        <v>10</v>
      </c>
      <c r="E551" s="6" t="s">
        <v>11</v>
      </c>
      <c r="F551" s="6" t="s">
        <v>15</v>
      </c>
      <c r="G551" s="6">
        <v>164</v>
      </c>
      <c r="H551" s="6" t="s">
        <v>16</v>
      </c>
      <c r="I551" s="11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</row>
    <row r="552" spans="1:21" ht="15.75" thickBot="1" x14ac:dyDescent="0.3">
      <c r="A552" s="8" t="s">
        <v>564</v>
      </c>
      <c r="B552" s="5">
        <v>283</v>
      </c>
      <c r="C552" s="14" t="s">
        <v>1357</v>
      </c>
      <c r="D552" s="5" t="s">
        <v>10</v>
      </c>
      <c r="E552" s="5" t="s">
        <v>11</v>
      </c>
      <c r="F552" s="5" t="s">
        <v>12</v>
      </c>
      <c r="G552" s="5">
        <v>103</v>
      </c>
      <c r="H552" s="5" t="s">
        <v>13</v>
      </c>
      <c r="I552" s="10" t="s">
        <v>565</v>
      </c>
      <c r="J552" s="4"/>
      <c r="K552" s="12">
        <f t="shared" ref="K552:K615" si="821">(C553-C552)*1000</f>
        <v>166.59469999999988</v>
      </c>
      <c r="L552" s="4"/>
      <c r="M552" s="12">
        <f t="shared" ref="M552:M615" si="822">K552-$L$2</f>
        <v>52.980273499999868</v>
      </c>
      <c r="N552" s="12">
        <f t="shared" ref="N552" si="823">M552^2</f>
        <v>2806.9093801347881</v>
      </c>
      <c r="O552" s="4"/>
      <c r="P552" s="4"/>
      <c r="Q552" s="4"/>
      <c r="R552" s="4"/>
      <c r="S552" s="4"/>
      <c r="T552" s="4"/>
      <c r="U552" s="4"/>
    </row>
    <row r="553" spans="1:21" ht="15.75" thickBot="1" x14ac:dyDescent="0.3">
      <c r="A553" s="9"/>
      <c r="B553" s="6">
        <v>325</v>
      </c>
      <c r="C553" s="13" t="s">
        <v>1358</v>
      </c>
      <c r="D553" s="6" t="s">
        <v>10</v>
      </c>
      <c r="E553" s="6" t="s">
        <v>11</v>
      </c>
      <c r="F553" s="6" t="s">
        <v>15</v>
      </c>
      <c r="G553" s="6">
        <v>164</v>
      </c>
      <c r="H553" s="6" t="s">
        <v>16</v>
      </c>
      <c r="I553" s="11"/>
      <c r="J553" s="4"/>
      <c r="K553" s="12"/>
      <c r="L553" s="4"/>
      <c r="M553" s="4"/>
      <c r="N553" s="4"/>
      <c r="O553" s="4"/>
      <c r="P553" s="4"/>
      <c r="Q553" s="4"/>
      <c r="R553" s="4"/>
      <c r="S553" s="4"/>
      <c r="T553" s="4"/>
      <c r="U553" s="4"/>
    </row>
    <row r="554" spans="1:21" ht="15.75" thickBot="1" x14ac:dyDescent="0.3">
      <c r="A554" s="8" t="s">
        <v>566</v>
      </c>
      <c r="B554" s="5">
        <v>246</v>
      </c>
      <c r="C554" s="14" t="s">
        <v>1359</v>
      </c>
      <c r="D554" s="5" t="s">
        <v>10</v>
      </c>
      <c r="E554" s="5" t="s">
        <v>11</v>
      </c>
      <c r="F554" s="5" t="s">
        <v>12</v>
      </c>
      <c r="G554" s="5">
        <v>103</v>
      </c>
      <c r="H554" s="5" t="s">
        <v>13</v>
      </c>
      <c r="I554" s="10" t="s">
        <v>567</v>
      </c>
      <c r="J554" s="4"/>
      <c r="K554" s="12">
        <f t="shared" ref="K554:K617" si="824">(C555-C554)*1000</f>
        <v>187.47359999999992</v>
      </c>
      <c r="L554" s="4"/>
      <c r="M554" s="12">
        <f t="shared" ref="M554:M617" si="825">K554-$L$2</f>
        <v>73.859173499999912</v>
      </c>
      <c r="N554" s="12">
        <f t="shared" ref="N554" si="826">M554^2</f>
        <v>5455.1775101030889</v>
      </c>
      <c r="O554" s="4"/>
      <c r="P554" s="4"/>
      <c r="Q554" s="4"/>
      <c r="R554" s="4"/>
      <c r="S554" s="4"/>
      <c r="T554" s="4"/>
      <c r="U554" s="4"/>
    </row>
    <row r="555" spans="1:21" ht="15.75" thickBot="1" x14ac:dyDescent="0.3">
      <c r="A555" s="9"/>
      <c r="B555" s="6">
        <v>282</v>
      </c>
      <c r="C555" s="13" t="s">
        <v>1360</v>
      </c>
      <c r="D555" s="6" t="s">
        <v>10</v>
      </c>
      <c r="E555" s="6" t="s">
        <v>11</v>
      </c>
      <c r="F555" s="6" t="s">
        <v>15</v>
      </c>
      <c r="G555" s="6">
        <v>164</v>
      </c>
      <c r="H555" s="6" t="s">
        <v>16</v>
      </c>
      <c r="I555" s="11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</row>
    <row r="556" spans="1:21" ht="15.75" thickBot="1" x14ac:dyDescent="0.3">
      <c r="A556" s="8" t="s">
        <v>568</v>
      </c>
      <c r="B556" s="5">
        <v>263</v>
      </c>
      <c r="C556" s="14" t="s">
        <v>1361</v>
      </c>
      <c r="D556" s="5" t="s">
        <v>10</v>
      </c>
      <c r="E556" s="5" t="s">
        <v>11</v>
      </c>
      <c r="F556" s="5" t="s">
        <v>12</v>
      </c>
      <c r="G556" s="5">
        <v>103</v>
      </c>
      <c r="H556" s="5" t="s">
        <v>13</v>
      </c>
      <c r="I556" s="10" t="s">
        <v>569</v>
      </c>
      <c r="J556" s="4"/>
      <c r="K556" s="12">
        <f t="shared" ref="K556:K619" si="827">(C557-C556)*1000</f>
        <v>130.98949999999988</v>
      </c>
      <c r="L556" s="4"/>
      <c r="M556" s="12">
        <f t="shared" ref="M556:M619" si="828">K556-$L$2</f>
        <v>17.375073499999871</v>
      </c>
      <c r="N556" s="12">
        <f t="shared" ref="N556" si="829">M556^2</f>
        <v>301.89317913039775</v>
      </c>
      <c r="O556" s="4"/>
      <c r="P556" s="4"/>
      <c r="Q556" s="4"/>
      <c r="R556" s="4"/>
      <c r="S556" s="4"/>
      <c r="T556" s="4"/>
      <c r="U556" s="4"/>
    </row>
    <row r="557" spans="1:21" ht="15.75" thickBot="1" x14ac:dyDescent="0.3">
      <c r="A557" s="9"/>
      <c r="B557" s="6">
        <v>306</v>
      </c>
      <c r="C557" s="13" t="s">
        <v>1362</v>
      </c>
      <c r="D557" s="6" t="s">
        <v>10</v>
      </c>
      <c r="E557" s="6" t="s">
        <v>11</v>
      </c>
      <c r="F557" s="6" t="s">
        <v>15</v>
      </c>
      <c r="G557" s="6">
        <v>164</v>
      </c>
      <c r="H557" s="6" t="s">
        <v>16</v>
      </c>
      <c r="I557" s="11"/>
      <c r="J557" s="4"/>
      <c r="K557" s="12"/>
      <c r="L557" s="4"/>
      <c r="M557" s="4"/>
      <c r="N557" s="4"/>
      <c r="O557" s="4"/>
      <c r="P557" s="4"/>
      <c r="Q557" s="4"/>
      <c r="R557" s="4"/>
      <c r="S557" s="4"/>
      <c r="T557" s="4"/>
      <c r="U557" s="4"/>
    </row>
    <row r="558" spans="1:21" ht="15.75" thickBot="1" x14ac:dyDescent="0.3">
      <c r="A558" s="8" t="s">
        <v>570</v>
      </c>
      <c r="B558" s="5">
        <v>211</v>
      </c>
      <c r="C558" s="14" t="s">
        <v>1363</v>
      </c>
      <c r="D558" s="5" t="s">
        <v>10</v>
      </c>
      <c r="E558" s="5" t="s">
        <v>11</v>
      </c>
      <c r="F558" s="5" t="s">
        <v>12</v>
      </c>
      <c r="G558" s="5">
        <v>103</v>
      </c>
      <c r="H558" s="5" t="s">
        <v>13</v>
      </c>
      <c r="I558" s="10" t="s">
        <v>571</v>
      </c>
      <c r="J558" s="4"/>
      <c r="K558" s="12">
        <f t="shared" ref="K558:K621" si="830">(C559-C558)*1000</f>
        <v>58.224999999999973</v>
      </c>
      <c r="L558" s="4"/>
      <c r="M558" s="12">
        <f t="shared" ref="M558:M621" si="831">K558-$L$2</f>
        <v>-55.389426500000035</v>
      </c>
      <c r="N558" s="12">
        <f t="shared" ref="N558" si="832">M558^2</f>
        <v>3067.9885679989061</v>
      </c>
      <c r="O558" s="4"/>
      <c r="P558" s="4"/>
      <c r="Q558" s="4"/>
      <c r="R558" s="4"/>
      <c r="S558" s="4"/>
      <c r="T558" s="4"/>
      <c r="U558" s="4"/>
    </row>
    <row r="559" spans="1:21" ht="15.75" thickBot="1" x14ac:dyDescent="0.3">
      <c r="A559" s="9"/>
      <c r="B559" s="6">
        <v>231</v>
      </c>
      <c r="C559" s="13" t="s">
        <v>1364</v>
      </c>
      <c r="D559" s="6" t="s">
        <v>10</v>
      </c>
      <c r="E559" s="6" t="s">
        <v>11</v>
      </c>
      <c r="F559" s="6" t="s">
        <v>15</v>
      </c>
      <c r="G559" s="6">
        <v>164</v>
      </c>
      <c r="H559" s="6" t="s">
        <v>16</v>
      </c>
      <c r="I559" s="11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</row>
    <row r="560" spans="1:21" ht="15.75" thickBot="1" x14ac:dyDescent="0.3">
      <c r="A560" s="8" t="s">
        <v>572</v>
      </c>
      <c r="B560" s="5">
        <v>223</v>
      </c>
      <c r="C560" s="14" t="s">
        <v>1365</v>
      </c>
      <c r="D560" s="5" t="s">
        <v>10</v>
      </c>
      <c r="E560" s="5" t="s">
        <v>11</v>
      </c>
      <c r="F560" s="5" t="s">
        <v>12</v>
      </c>
      <c r="G560" s="5">
        <v>103</v>
      </c>
      <c r="H560" s="5" t="s">
        <v>13</v>
      </c>
      <c r="I560" s="10" t="s">
        <v>573</v>
      </c>
      <c r="J560" s="4"/>
      <c r="K560" s="12">
        <f t="shared" ref="K560:K623" si="833">(C561-C560)*1000</f>
        <v>134.98619999999994</v>
      </c>
      <c r="L560" s="4"/>
      <c r="M560" s="12">
        <f t="shared" ref="M560:M623" si="834">K560-$L$2</f>
        <v>21.371773499999932</v>
      </c>
      <c r="N560" s="12">
        <f t="shared" ref="N560" si="835">M560^2</f>
        <v>456.75270253529936</v>
      </c>
      <c r="O560" s="4"/>
      <c r="P560" s="4"/>
      <c r="Q560" s="4"/>
      <c r="R560" s="4"/>
      <c r="S560" s="4"/>
      <c r="T560" s="4"/>
      <c r="U560" s="4"/>
    </row>
    <row r="561" spans="1:21" ht="15.75" thickBot="1" x14ac:dyDescent="0.3">
      <c r="A561" s="9"/>
      <c r="B561" s="6">
        <v>252</v>
      </c>
      <c r="C561" s="13" t="s">
        <v>1366</v>
      </c>
      <c r="D561" s="6" t="s">
        <v>10</v>
      </c>
      <c r="E561" s="6" t="s">
        <v>11</v>
      </c>
      <c r="F561" s="6" t="s">
        <v>15</v>
      </c>
      <c r="G561" s="6">
        <v>164</v>
      </c>
      <c r="H561" s="6" t="s">
        <v>16</v>
      </c>
      <c r="I561" s="11"/>
      <c r="J561" s="4"/>
      <c r="K561" s="12"/>
      <c r="L561" s="4"/>
      <c r="M561" s="4"/>
      <c r="N561" s="4"/>
      <c r="O561" s="4"/>
      <c r="P561" s="4"/>
      <c r="Q561" s="4"/>
      <c r="R561" s="4"/>
      <c r="S561" s="4"/>
      <c r="T561" s="4"/>
      <c r="U561" s="4"/>
    </row>
    <row r="562" spans="1:21" ht="15.75" thickBot="1" x14ac:dyDescent="0.3">
      <c r="A562" s="8" t="s">
        <v>574</v>
      </c>
      <c r="B562" s="5">
        <v>274</v>
      </c>
      <c r="C562" s="14" t="s">
        <v>1367</v>
      </c>
      <c r="D562" s="5" t="s">
        <v>10</v>
      </c>
      <c r="E562" s="5" t="s">
        <v>11</v>
      </c>
      <c r="F562" s="5" t="s">
        <v>12</v>
      </c>
      <c r="G562" s="5">
        <v>103</v>
      </c>
      <c r="H562" s="5" t="s">
        <v>13</v>
      </c>
      <c r="I562" s="10" t="s">
        <v>575</v>
      </c>
      <c r="J562" s="4"/>
      <c r="K562" s="12">
        <f t="shared" ref="K562:K625" si="836">(C563-C562)*1000</f>
        <v>98.767300000000006</v>
      </c>
      <c r="L562" s="4"/>
      <c r="M562" s="12">
        <f t="shared" ref="M562:M625" si="837">K562-$L$2</f>
        <v>-14.847126500000002</v>
      </c>
      <c r="N562" s="12">
        <f t="shared" ref="N562" si="838">M562^2</f>
        <v>220.43716530700229</v>
      </c>
      <c r="O562" s="4"/>
      <c r="P562" s="4"/>
      <c r="Q562" s="4"/>
      <c r="R562" s="4"/>
      <c r="S562" s="4"/>
      <c r="T562" s="4"/>
      <c r="U562" s="4"/>
    </row>
    <row r="563" spans="1:21" ht="15.75" thickBot="1" x14ac:dyDescent="0.3">
      <c r="A563" s="9"/>
      <c r="B563" s="6">
        <v>299</v>
      </c>
      <c r="C563" s="13" t="s">
        <v>1368</v>
      </c>
      <c r="D563" s="6" t="s">
        <v>10</v>
      </c>
      <c r="E563" s="6" t="s">
        <v>11</v>
      </c>
      <c r="F563" s="6" t="s">
        <v>15</v>
      </c>
      <c r="G563" s="6">
        <v>164</v>
      </c>
      <c r="H563" s="6" t="s">
        <v>16</v>
      </c>
      <c r="I563" s="11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</row>
    <row r="564" spans="1:21" ht="15.75" thickBot="1" x14ac:dyDescent="0.3">
      <c r="A564" s="8" t="s">
        <v>576</v>
      </c>
      <c r="B564" s="5">
        <v>236</v>
      </c>
      <c r="C564" s="14" t="s">
        <v>1369</v>
      </c>
      <c r="D564" s="5" t="s">
        <v>10</v>
      </c>
      <c r="E564" s="5" t="s">
        <v>11</v>
      </c>
      <c r="F564" s="5" t="s">
        <v>12</v>
      </c>
      <c r="G564" s="5">
        <v>103</v>
      </c>
      <c r="H564" s="5" t="s">
        <v>13</v>
      </c>
      <c r="I564" s="10" t="s">
        <v>577</v>
      </c>
      <c r="J564" s="4"/>
      <c r="K564" s="12">
        <f t="shared" ref="K564:K627" si="839">(C565-C564)*1000</f>
        <v>130.49090000000007</v>
      </c>
      <c r="L564" s="4"/>
      <c r="M564" s="12">
        <f t="shared" ref="M564:M627" si="840">K564-$L$2</f>
        <v>16.87647350000006</v>
      </c>
      <c r="N564" s="12">
        <f t="shared" ref="N564" si="841">M564^2</f>
        <v>284.8153577962043</v>
      </c>
      <c r="O564" s="4"/>
      <c r="P564" s="4"/>
      <c r="Q564" s="4"/>
      <c r="R564" s="4"/>
      <c r="S564" s="4"/>
      <c r="T564" s="4"/>
      <c r="U564" s="4"/>
    </row>
    <row r="565" spans="1:21" ht="15.75" thickBot="1" x14ac:dyDescent="0.3">
      <c r="A565" s="9"/>
      <c r="B565" s="6">
        <v>263</v>
      </c>
      <c r="C565" s="13" t="s">
        <v>1370</v>
      </c>
      <c r="D565" s="6" t="s">
        <v>10</v>
      </c>
      <c r="E565" s="6" t="s">
        <v>11</v>
      </c>
      <c r="F565" s="6" t="s">
        <v>15</v>
      </c>
      <c r="G565" s="6">
        <v>164</v>
      </c>
      <c r="H565" s="6" t="s">
        <v>16</v>
      </c>
      <c r="I565" s="11"/>
      <c r="J565" s="4"/>
      <c r="K565" s="12"/>
      <c r="L565" s="4"/>
      <c r="M565" s="4"/>
      <c r="N565" s="4"/>
      <c r="O565" s="4"/>
      <c r="P565" s="4"/>
      <c r="Q565" s="4"/>
      <c r="R565" s="4"/>
      <c r="S565" s="4"/>
      <c r="T565" s="4"/>
      <c r="U565" s="4"/>
    </row>
    <row r="566" spans="1:21" ht="15.75" thickBot="1" x14ac:dyDescent="0.3">
      <c r="A566" s="8" t="s">
        <v>578</v>
      </c>
      <c r="B566" s="5">
        <v>248</v>
      </c>
      <c r="C566" s="14" t="s">
        <v>1371</v>
      </c>
      <c r="D566" s="5" t="s">
        <v>10</v>
      </c>
      <c r="E566" s="5" t="s">
        <v>11</v>
      </c>
      <c r="F566" s="5" t="s">
        <v>12</v>
      </c>
      <c r="G566" s="5">
        <v>103</v>
      </c>
      <c r="H566" s="5" t="s">
        <v>13</v>
      </c>
      <c r="I566" s="10" t="s">
        <v>579</v>
      </c>
      <c r="J566" s="4"/>
      <c r="K566" s="12">
        <f t="shared" ref="K566:K629" si="842">(C567-C566)*1000</f>
        <v>178.05379999999982</v>
      </c>
      <c r="L566" s="4"/>
      <c r="M566" s="12">
        <f t="shared" ref="M566:M629" si="843">K566-$L$2</f>
        <v>64.439373499999817</v>
      </c>
      <c r="N566" s="12">
        <f t="shared" ref="N566" si="844">M566^2</f>
        <v>4152.4328570724783</v>
      </c>
      <c r="O566" s="4"/>
      <c r="P566" s="4"/>
      <c r="Q566" s="4"/>
      <c r="R566" s="4"/>
      <c r="S566" s="4"/>
      <c r="T566" s="4"/>
      <c r="U566" s="4"/>
    </row>
    <row r="567" spans="1:21" ht="15.75" thickBot="1" x14ac:dyDescent="0.3">
      <c r="A567" s="9"/>
      <c r="B567" s="6">
        <v>284</v>
      </c>
      <c r="C567" s="13" t="s">
        <v>1372</v>
      </c>
      <c r="D567" s="6" t="s">
        <v>10</v>
      </c>
      <c r="E567" s="6" t="s">
        <v>11</v>
      </c>
      <c r="F567" s="6" t="s">
        <v>15</v>
      </c>
      <c r="G567" s="6">
        <v>164</v>
      </c>
      <c r="H567" s="6" t="s">
        <v>16</v>
      </c>
      <c r="I567" s="11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</row>
    <row r="568" spans="1:21" ht="15.75" thickBot="1" x14ac:dyDescent="0.3">
      <c r="A568" s="8" t="s">
        <v>580</v>
      </c>
      <c r="B568" s="5">
        <v>307</v>
      </c>
      <c r="C568" s="14" t="s">
        <v>1373</v>
      </c>
      <c r="D568" s="5" t="s">
        <v>10</v>
      </c>
      <c r="E568" s="5" t="s">
        <v>11</v>
      </c>
      <c r="F568" s="5" t="s">
        <v>12</v>
      </c>
      <c r="G568" s="5">
        <v>103</v>
      </c>
      <c r="H568" s="5" t="s">
        <v>13</v>
      </c>
      <c r="I568" s="10" t="s">
        <v>581</v>
      </c>
      <c r="J568" s="4"/>
      <c r="K568" s="12">
        <f t="shared" ref="K568:K631" si="845">(C569-C568)*1000</f>
        <v>147.31309999999985</v>
      </c>
      <c r="L568" s="4"/>
      <c r="M568" s="12">
        <f t="shared" ref="M568:M631" si="846">K568-$L$2</f>
        <v>33.698673499999842</v>
      </c>
      <c r="N568" s="12">
        <f t="shared" ref="N568" si="847">M568^2</f>
        <v>1135.6005956595916</v>
      </c>
      <c r="O568" s="4"/>
      <c r="P568" s="4"/>
      <c r="Q568" s="4"/>
      <c r="R568" s="4"/>
      <c r="S568" s="4"/>
      <c r="T568" s="4"/>
      <c r="U568" s="4"/>
    </row>
    <row r="569" spans="1:21" ht="15.75" thickBot="1" x14ac:dyDescent="0.3">
      <c r="A569" s="9"/>
      <c r="B569" s="6">
        <v>343</v>
      </c>
      <c r="C569" s="13" t="s">
        <v>1374</v>
      </c>
      <c r="D569" s="6" t="s">
        <v>10</v>
      </c>
      <c r="E569" s="6" t="s">
        <v>11</v>
      </c>
      <c r="F569" s="6" t="s">
        <v>15</v>
      </c>
      <c r="G569" s="6">
        <v>164</v>
      </c>
      <c r="H569" s="6" t="s">
        <v>16</v>
      </c>
      <c r="I569" s="11"/>
      <c r="J569" s="4"/>
      <c r="K569" s="12"/>
      <c r="L569" s="4"/>
      <c r="M569" s="4"/>
      <c r="N569" s="4"/>
      <c r="O569" s="4"/>
      <c r="P569" s="4"/>
      <c r="Q569" s="4"/>
      <c r="R569" s="4"/>
      <c r="S569" s="4"/>
      <c r="T569" s="4"/>
      <c r="U569" s="4"/>
    </row>
    <row r="570" spans="1:21" ht="15.75" thickBot="1" x14ac:dyDescent="0.3">
      <c r="A570" s="8" t="s">
        <v>582</v>
      </c>
      <c r="B570" s="5">
        <v>293</v>
      </c>
      <c r="C570" s="14" t="s">
        <v>1375</v>
      </c>
      <c r="D570" s="5" t="s">
        <v>10</v>
      </c>
      <c r="E570" s="5" t="s">
        <v>11</v>
      </c>
      <c r="F570" s="5" t="s">
        <v>12</v>
      </c>
      <c r="G570" s="5">
        <v>103</v>
      </c>
      <c r="H570" s="5" t="s">
        <v>13</v>
      </c>
      <c r="I570" s="10" t="s">
        <v>583</v>
      </c>
      <c r="J570" s="4"/>
      <c r="K570" s="12">
        <f t="shared" ref="K570:K633" si="848">(C571-C570)*1000</f>
        <v>151.12590000000003</v>
      </c>
      <c r="L570" s="4"/>
      <c r="M570" s="12">
        <f t="shared" ref="M570:M633" si="849">K570-$L$2</f>
        <v>37.511473500000022</v>
      </c>
      <c r="N570" s="12">
        <f t="shared" ref="N570" si="850">M570^2</f>
        <v>1407.1106441412039</v>
      </c>
      <c r="O570" s="4"/>
      <c r="P570" s="4"/>
      <c r="Q570" s="4"/>
      <c r="R570" s="4"/>
      <c r="S570" s="4"/>
      <c r="T570" s="4"/>
      <c r="U570" s="4"/>
    </row>
    <row r="571" spans="1:21" ht="15.75" thickBot="1" x14ac:dyDescent="0.3">
      <c r="A571" s="9"/>
      <c r="B571" s="6">
        <v>328</v>
      </c>
      <c r="C571" s="13" t="s">
        <v>1376</v>
      </c>
      <c r="D571" s="6" t="s">
        <v>10</v>
      </c>
      <c r="E571" s="6" t="s">
        <v>11</v>
      </c>
      <c r="F571" s="6" t="s">
        <v>15</v>
      </c>
      <c r="G571" s="6">
        <v>164</v>
      </c>
      <c r="H571" s="6" t="s">
        <v>16</v>
      </c>
      <c r="I571" s="11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</row>
    <row r="572" spans="1:21" ht="15.75" thickBot="1" x14ac:dyDescent="0.3">
      <c r="A572" s="8" t="s">
        <v>584</v>
      </c>
      <c r="B572" s="5">
        <v>261</v>
      </c>
      <c r="C572" s="14" t="s">
        <v>1377</v>
      </c>
      <c r="D572" s="5" t="s">
        <v>10</v>
      </c>
      <c r="E572" s="5" t="s">
        <v>11</v>
      </c>
      <c r="F572" s="5" t="s">
        <v>12</v>
      </c>
      <c r="G572" s="5">
        <v>103</v>
      </c>
      <c r="H572" s="5" t="s">
        <v>13</v>
      </c>
      <c r="I572" s="10" t="s">
        <v>585</v>
      </c>
      <c r="J572" s="4"/>
      <c r="K572" s="12">
        <f t="shared" ref="K572:K635" si="851">(C573-C572)*1000</f>
        <v>48.730600000000067</v>
      </c>
      <c r="L572" s="4"/>
      <c r="M572" s="12">
        <f t="shared" ref="M572:M635" si="852">K572-$L$2</f>
        <v>-64.883826499999941</v>
      </c>
      <c r="N572" s="12">
        <f t="shared" ref="N572" si="853">M572^2</f>
        <v>4209.9109412820944</v>
      </c>
      <c r="O572" s="4"/>
      <c r="P572" s="4"/>
      <c r="Q572" s="4"/>
      <c r="R572" s="4"/>
      <c r="S572" s="4"/>
      <c r="T572" s="4"/>
      <c r="U572" s="4"/>
    </row>
    <row r="573" spans="1:21" ht="15.75" thickBot="1" x14ac:dyDescent="0.3">
      <c r="A573" s="9"/>
      <c r="B573" s="6">
        <v>272</v>
      </c>
      <c r="C573" s="13" t="s">
        <v>1378</v>
      </c>
      <c r="D573" s="6" t="s">
        <v>10</v>
      </c>
      <c r="E573" s="6" t="s">
        <v>11</v>
      </c>
      <c r="F573" s="6" t="s">
        <v>15</v>
      </c>
      <c r="G573" s="6">
        <v>164</v>
      </c>
      <c r="H573" s="6" t="s">
        <v>16</v>
      </c>
      <c r="I573" s="11"/>
      <c r="J573" s="4"/>
      <c r="K573" s="12"/>
      <c r="L573" s="4"/>
      <c r="M573" s="4"/>
      <c r="N573" s="4"/>
      <c r="O573" s="4"/>
      <c r="P573" s="4"/>
      <c r="Q573" s="4"/>
      <c r="R573" s="4"/>
      <c r="S573" s="4"/>
      <c r="T573" s="4"/>
      <c r="U573" s="4"/>
    </row>
    <row r="574" spans="1:21" ht="15.75" thickBot="1" x14ac:dyDescent="0.3">
      <c r="A574" s="8" t="s">
        <v>586</v>
      </c>
      <c r="B574" s="5">
        <v>269</v>
      </c>
      <c r="C574" s="14" t="s">
        <v>1379</v>
      </c>
      <c r="D574" s="5" t="s">
        <v>10</v>
      </c>
      <c r="E574" s="5" t="s">
        <v>11</v>
      </c>
      <c r="F574" s="5" t="s">
        <v>12</v>
      </c>
      <c r="G574" s="5">
        <v>103</v>
      </c>
      <c r="H574" s="5" t="s">
        <v>13</v>
      </c>
      <c r="I574" s="10" t="s">
        <v>587</v>
      </c>
      <c r="J574" s="4"/>
      <c r="K574" s="12">
        <f t="shared" ref="K574:K637" si="854">(C575-C574)*1000</f>
        <v>148.70179999999999</v>
      </c>
      <c r="L574" s="4"/>
      <c r="M574" s="12">
        <f t="shared" ref="M574:M637" si="855">K574-$L$2</f>
        <v>35.087373499999984</v>
      </c>
      <c r="N574" s="12">
        <f t="shared" ref="N574" si="856">M574^2</f>
        <v>1231.1237791285012</v>
      </c>
      <c r="O574" s="4"/>
      <c r="P574" s="4"/>
      <c r="Q574" s="4"/>
      <c r="R574" s="4"/>
      <c r="S574" s="4"/>
      <c r="T574" s="4"/>
      <c r="U574" s="4"/>
    </row>
    <row r="575" spans="1:21" ht="15.75" thickBot="1" x14ac:dyDescent="0.3">
      <c r="A575" s="9"/>
      <c r="B575" s="6">
        <v>302</v>
      </c>
      <c r="C575" s="13" t="s">
        <v>1380</v>
      </c>
      <c r="D575" s="6" t="s">
        <v>10</v>
      </c>
      <c r="E575" s="6" t="s">
        <v>11</v>
      </c>
      <c r="F575" s="6" t="s">
        <v>15</v>
      </c>
      <c r="G575" s="6">
        <v>164</v>
      </c>
      <c r="H575" s="6" t="s">
        <v>16</v>
      </c>
      <c r="I575" s="11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</row>
    <row r="576" spans="1:21" ht="15.75" thickBot="1" x14ac:dyDescent="0.3">
      <c r="A576" s="8" t="s">
        <v>588</v>
      </c>
      <c r="B576" s="5">
        <v>295</v>
      </c>
      <c r="C576" s="14" t="s">
        <v>1381</v>
      </c>
      <c r="D576" s="5" t="s">
        <v>10</v>
      </c>
      <c r="E576" s="5" t="s">
        <v>11</v>
      </c>
      <c r="F576" s="5" t="s">
        <v>12</v>
      </c>
      <c r="G576" s="5">
        <v>103</v>
      </c>
      <c r="H576" s="5" t="s">
        <v>13</v>
      </c>
      <c r="I576" s="10" t="s">
        <v>589</v>
      </c>
      <c r="J576" s="4"/>
      <c r="K576" s="12">
        <f t="shared" ref="K576:K639" si="857">(C577-C576)*1000</f>
        <v>178.55890000000008</v>
      </c>
      <c r="L576" s="4"/>
      <c r="M576" s="12">
        <f t="shared" ref="M576:M639" si="858">K576-$L$2</f>
        <v>64.944473500000072</v>
      </c>
      <c r="N576" s="12">
        <f t="shared" ref="N576" si="859">M576^2</f>
        <v>4217.7846381922118</v>
      </c>
      <c r="O576" s="4"/>
      <c r="P576" s="4"/>
      <c r="Q576" s="4"/>
      <c r="R576" s="4"/>
      <c r="S576" s="4"/>
      <c r="T576" s="4"/>
      <c r="U576" s="4"/>
    </row>
    <row r="577" spans="1:21" ht="15.75" thickBot="1" x14ac:dyDescent="0.3">
      <c r="A577" s="9"/>
      <c r="B577" s="6">
        <v>334</v>
      </c>
      <c r="C577" s="13" t="s">
        <v>1382</v>
      </c>
      <c r="D577" s="6" t="s">
        <v>10</v>
      </c>
      <c r="E577" s="6" t="s">
        <v>11</v>
      </c>
      <c r="F577" s="6" t="s">
        <v>15</v>
      </c>
      <c r="G577" s="6">
        <v>164</v>
      </c>
      <c r="H577" s="6" t="s">
        <v>16</v>
      </c>
      <c r="I577" s="11"/>
      <c r="J577" s="4"/>
      <c r="K577" s="12"/>
      <c r="L577" s="4"/>
      <c r="M577" s="4"/>
      <c r="N577" s="4"/>
      <c r="O577" s="4"/>
      <c r="P577" s="4"/>
      <c r="Q577" s="4"/>
      <c r="R577" s="4"/>
      <c r="S577" s="4"/>
      <c r="T577" s="4"/>
      <c r="U577" s="4"/>
    </row>
    <row r="578" spans="1:21" ht="15.75" thickBot="1" x14ac:dyDescent="0.3">
      <c r="A578" s="8" t="s">
        <v>590</v>
      </c>
      <c r="B578" s="5">
        <v>272</v>
      </c>
      <c r="C578" s="14" t="s">
        <v>1383</v>
      </c>
      <c r="D578" s="5" t="s">
        <v>10</v>
      </c>
      <c r="E578" s="5" t="s">
        <v>11</v>
      </c>
      <c r="F578" s="5" t="s">
        <v>12</v>
      </c>
      <c r="G578" s="5">
        <v>103</v>
      </c>
      <c r="H578" s="5" t="s">
        <v>13</v>
      </c>
      <c r="I578" s="10" t="s">
        <v>591</v>
      </c>
      <c r="J578" s="4"/>
      <c r="K578" s="12">
        <f t="shared" ref="K578:K641" si="860">(C579-C578)*1000</f>
        <v>75.063400000000115</v>
      </c>
      <c r="L578" s="4"/>
      <c r="M578" s="12">
        <f t="shared" ref="M578:M641" si="861">K578-$L$2</f>
        <v>-38.551026499999892</v>
      </c>
      <c r="N578" s="12">
        <f t="shared" ref="N578" si="862">M578^2</f>
        <v>1486.1816442036938</v>
      </c>
      <c r="O578" s="4"/>
      <c r="P578" s="4"/>
      <c r="Q578" s="4"/>
      <c r="R578" s="4"/>
      <c r="S578" s="4"/>
      <c r="T578" s="4"/>
      <c r="U578" s="4"/>
    </row>
    <row r="579" spans="1:21" ht="15.75" thickBot="1" x14ac:dyDescent="0.3">
      <c r="A579" s="9"/>
      <c r="B579" s="6">
        <v>287</v>
      </c>
      <c r="C579" s="13" t="s">
        <v>1384</v>
      </c>
      <c r="D579" s="6" t="s">
        <v>10</v>
      </c>
      <c r="E579" s="6" t="s">
        <v>11</v>
      </c>
      <c r="F579" s="6" t="s">
        <v>15</v>
      </c>
      <c r="G579" s="6">
        <v>164</v>
      </c>
      <c r="H579" s="6" t="s">
        <v>16</v>
      </c>
      <c r="I579" s="11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</row>
    <row r="580" spans="1:21" ht="15.75" thickBot="1" x14ac:dyDescent="0.3">
      <c r="A580" s="8" t="s">
        <v>592</v>
      </c>
      <c r="B580" s="5">
        <v>219</v>
      </c>
      <c r="C580" s="14" t="s">
        <v>1386</v>
      </c>
      <c r="D580" s="5" t="s">
        <v>10</v>
      </c>
      <c r="E580" s="5" t="s">
        <v>11</v>
      </c>
      <c r="F580" s="5" t="s">
        <v>12</v>
      </c>
      <c r="G580" s="5">
        <v>103</v>
      </c>
      <c r="H580" s="5" t="s">
        <v>13</v>
      </c>
      <c r="I580" s="10" t="s">
        <v>593</v>
      </c>
      <c r="J580" s="4"/>
      <c r="K580" s="12">
        <f t="shared" ref="K580:K643" si="863">(C581-C580)*1000</f>
        <v>133.5989999999999</v>
      </c>
      <c r="L580" s="4"/>
      <c r="M580" s="12">
        <f t="shared" ref="M580:M643" si="864">K580-$L$2</f>
        <v>19.984573499999897</v>
      </c>
      <c r="N580" s="12">
        <f t="shared" ref="N580" si="865">M580^2</f>
        <v>399.38317797689814</v>
      </c>
      <c r="O580" s="4"/>
      <c r="P580" s="4"/>
      <c r="Q580" s="4"/>
      <c r="R580" s="4"/>
      <c r="S580" s="4"/>
      <c r="T580" s="4"/>
      <c r="U580" s="4"/>
    </row>
    <row r="581" spans="1:21" ht="15.75" thickBot="1" x14ac:dyDescent="0.3">
      <c r="A581" s="9"/>
      <c r="B581" s="6">
        <v>256</v>
      </c>
      <c r="C581" s="13" t="s">
        <v>1385</v>
      </c>
      <c r="D581" s="6" t="s">
        <v>10</v>
      </c>
      <c r="E581" s="6" t="s">
        <v>11</v>
      </c>
      <c r="F581" s="6" t="s">
        <v>15</v>
      </c>
      <c r="G581" s="6">
        <v>164</v>
      </c>
      <c r="H581" s="6" t="s">
        <v>16</v>
      </c>
      <c r="I581" s="11"/>
      <c r="J581" s="4"/>
      <c r="K581" s="12"/>
      <c r="L581" s="4"/>
      <c r="M581" s="4"/>
      <c r="N581" s="4"/>
      <c r="O581" s="4"/>
      <c r="P581" s="4"/>
      <c r="Q581" s="4"/>
      <c r="R581" s="4"/>
      <c r="S581" s="4"/>
      <c r="T581" s="4"/>
      <c r="U581" s="4"/>
    </row>
    <row r="582" spans="1:21" ht="15.75" thickBot="1" x14ac:dyDescent="0.3">
      <c r="A582" s="8" t="s">
        <v>594</v>
      </c>
      <c r="B582" s="5">
        <v>253</v>
      </c>
      <c r="C582" s="14" t="s">
        <v>1387</v>
      </c>
      <c r="D582" s="5" t="s">
        <v>10</v>
      </c>
      <c r="E582" s="5" t="s">
        <v>11</v>
      </c>
      <c r="F582" s="5" t="s">
        <v>12</v>
      </c>
      <c r="G582" s="5">
        <v>103</v>
      </c>
      <c r="H582" s="5" t="s">
        <v>13</v>
      </c>
      <c r="I582" s="10" t="s">
        <v>595</v>
      </c>
      <c r="J582" s="4"/>
      <c r="K582" s="12">
        <f t="shared" ref="K582:K645" si="866">(C583-C582)*1000</f>
        <v>135.24329999999995</v>
      </c>
      <c r="L582" s="4"/>
      <c r="M582" s="12">
        <f t="shared" ref="M582:M645" si="867">K582-$L$2</f>
        <v>21.628873499999941</v>
      </c>
      <c r="N582" s="12">
        <f t="shared" ref="N582" si="868">M582^2</f>
        <v>467.80816887899965</v>
      </c>
      <c r="O582" s="4"/>
      <c r="P582" s="4"/>
      <c r="Q582" s="4"/>
      <c r="R582" s="4"/>
      <c r="S582" s="4"/>
      <c r="T582" s="4"/>
      <c r="U582" s="4"/>
    </row>
    <row r="583" spans="1:21" ht="15.75" thickBot="1" x14ac:dyDescent="0.3">
      <c r="A583" s="9"/>
      <c r="B583" s="6">
        <v>288</v>
      </c>
      <c r="C583" s="13" t="s">
        <v>1388</v>
      </c>
      <c r="D583" s="6" t="s">
        <v>10</v>
      </c>
      <c r="E583" s="6" t="s">
        <v>11</v>
      </c>
      <c r="F583" s="6" t="s">
        <v>15</v>
      </c>
      <c r="G583" s="6">
        <v>164</v>
      </c>
      <c r="H583" s="6" t="s">
        <v>16</v>
      </c>
      <c r="I583" s="11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</row>
    <row r="584" spans="1:21" ht="15.75" thickBot="1" x14ac:dyDescent="0.3">
      <c r="A584" s="8" t="s">
        <v>596</v>
      </c>
      <c r="B584" s="5">
        <v>261</v>
      </c>
      <c r="C584" s="14" t="s">
        <v>1389</v>
      </c>
      <c r="D584" s="5" t="s">
        <v>10</v>
      </c>
      <c r="E584" s="5" t="s">
        <v>11</v>
      </c>
      <c r="F584" s="5" t="s">
        <v>12</v>
      </c>
      <c r="G584" s="5">
        <v>103</v>
      </c>
      <c r="H584" s="5" t="s">
        <v>13</v>
      </c>
      <c r="I584" s="10" t="s">
        <v>597</v>
      </c>
      <c r="J584" s="4"/>
      <c r="K584" s="12">
        <f t="shared" ref="K584:K647" si="869">(C585-C584)*1000</f>
        <v>43.509999999999934</v>
      </c>
      <c r="L584" s="4"/>
      <c r="M584" s="12">
        <f t="shared" ref="M584:M647" si="870">K584-$L$2</f>
        <v>-70.104426500000073</v>
      </c>
      <c r="N584" s="12">
        <f t="shared" ref="N584" si="871">M584^2</f>
        <v>4914.6306148939129</v>
      </c>
      <c r="O584" s="4"/>
      <c r="P584" s="4"/>
      <c r="Q584" s="4"/>
      <c r="R584" s="4"/>
      <c r="S584" s="4"/>
      <c r="T584" s="4"/>
      <c r="U584" s="4"/>
    </row>
    <row r="585" spans="1:21" ht="15.75" thickBot="1" x14ac:dyDescent="0.3">
      <c r="A585" s="9"/>
      <c r="B585" s="6">
        <v>272</v>
      </c>
      <c r="C585" s="13" t="s">
        <v>1390</v>
      </c>
      <c r="D585" s="6" t="s">
        <v>10</v>
      </c>
      <c r="E585" s="6" t="s">
        <v>11</v>
      </c>
      <c r="F585" s="6" t="s">
        <v>15</v>
      </c>
      <c r="G585" s="6">
        <v>164</v>
      </c>
      <c r="H585" s="6" t="s">
        <v>16</v>
      </c>
      <c r="I585" s="11"/>
      <c r="J585" s="4"/>
      <c r="K585" s="12"/>
      <c r="L585" s="4"/>
      <c r="M585" s="4"/>
      <c r="N585" s="4"/>
      <c r="O585" s="4"/>
      <c r="P585" s="4"/>
      <c r="Q585" s="4"/>
      <c r="R585" s="4"/>
      <c r="S585" s="4"/>
      <c r="T585" s="4"/>
      <c r="U585" s="4"/>
    </row>
    <row r="586" spans="1:21" ht="15.75" thickBot="1" x14ac:dyDescent="0.3">
      <c r="A586" s="8" t="s">
        <v>598</v>
      </c>
      <c r="B586" s="5">
        <v>191</v>
      </c>
      <c r="C586" s="14" t="s">
        <v>1391</v>
      </c>
      <c r="D586" s="5" t="s">
        <v>10</v>
      </c>
      <c r="E586" s="5" t="s">
        <v>11</v>
      </c>
      <c r="F586" s="5" t="s">
        <v>12</v>
      </c>
      <c r="G586" s="5">
        <v>103</v>
      </c>
      <c r="H586" s="5" t="s">
        <v>13</v>
      </c>
      <c r="I586" s="10" t="s">
        <v>599</v>
      </c>
      <c r="J586" s="4"/>
      <c r="K586" s="12">
        <f t="shared" ref="K586:K649" si="872">(C587-C586)*1000</f>
        <v>156.37460000000004</v>
      </c>
      <c r="L586" s="4"/>
      <c r="M586" s="12">
        <f t="shared" ref="M586:M649" si="873">K586-$L$2</f>
        <v>42.760173500000036</v>
      </c>
      <c r="N586" s="12">
        <f t="shared" ref="N586" si="874">M586^2</f>
        <v>1828.4324377501052</v>
      </c>
      <c r="O586" s="4"/>
      <c r="P586" s="4"/>
      <c r="Q586" s="4"/>
      <c r="R586" s="4"/>
      <c r="S586" s="4"/>
      <c r="T586" s="4"/>
      <c r="U586" s="4"/>
    </row>
    <row r="587" spans="1:21" ht="15.75" thickBot="1" x14ac:dyDescent="0.3">
      <c r="A587" s="9"/>
      <c r="B587" s="6">
        <v>234</v>
      </c>
      <c r="C587" s="13" t="s">
        <v>1392</v>
      </c>
      <c r="D587" s="6" t="s">
        <v>10</v>
      </c>
      <c r="E587" s="6" t="s">
        <v>11</v>
      </c>
      <c r="F587" s="6" t="s">
        <v>15</v>
      </c>
      <c r="G587" s="6">
        <v>164</v>
      </c>
      <c r="H587" s="6" t="s">
        <v>16</v>
      </c>
      <c r="I587" s="11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</row>
    <row r="588" spans="1:21" ht="15.75" thickBot="1" x14ac:dyDescent="0.3">
      <c r="A588" s="8" t="s">
        <v>600</v>
      </c>
      <c r="B588" s="5">
        <v>270</v>
      </c>
      <c r="C588" s="14" t="s">
        <v>1393</v>
      </c>
      <c r="D588" s="5" t="s">
        <v>10</v>
      </c>
      <c r="E588" s="5" t="s">
        <v>11</v>
      </c>
      <c r="F588" s="5" t="s">
        <v>12</v>
      </c>
      <c r="G588" s="5">
        <v>103</v>
      </c>
      <c r="H588" s="5" t="s">
        <v>13</v>
      </c>
      <c r="I588" s="10" t="s">
        <v>601</v>
      </c>
      <c r="J588" s="4"/>
      <c r="K588" s="12">
        <f t="shared" ref="K588:K651" si="875">(C589-C588)*1000</f>
        <v>168.47210000000001</v>
      </c>
      <c r="L588" s="4"/>
      <c r="M588" s="12">
        <f t="shared" ref="M588:M651" si="876">K588-$L$2</f>
        <v>54.857673500000004</v>
      </c>
      <c r="N588" s="12">
        <f t="shared" ref="N588" si="877">M588^2</f>
        <v>3009.3643418326028</v>
      </c>
      <c r="O588" s="4"/>
      <c r="P588" s="4"/>
      <c r="Q588" s="4"/>
      <c r="R588" s="4"/>
      <c r="S588" s="4"/>
      <c r="T588" s="4"/>
      <c r="U588" s="4"/>
    </row>
    <row r="589" spans="1:21" ht="15.75" thickBot="1" x14ac:dyDescent="0.3">
      <c r="A589" s="9"/>
      <c r="B589" s="6">
        <v>303</v>
      </c>
      <c r="C589" s="13" t="s">
        <v>1394</v>
      </c>
      <c r="D589" s="6" t="s">
        <v>10</v>
      </c>
      <c r="E589" s="6" t="s">
        <v>11</v>
      </c>
      <c r="F589" s="6" t="s">
        <v>15</v>
      </c>
      <c r="G589" s="6">
        <v>164</v>
      </c>
      <c r="H589" s="6" t="s">
        <v>16</v>
      </c>
      <c r="I589" s="11"/>
      <c r="J589" s="4"/>
      <c r="K589" s="12"/>
      <c r="L589" s="4"/>
      <c r="M589" s="4"/>
      <c r="N589" s="4"/>
      <c r="O589" s="4"/>
      <c r="P589" s="4"/>
      <c r="Q589" s="4"/>
      <c r="R589" s="4"/>
      <c r="S589" s="4"/>
      <c r="T589" s="4"/>
      <c r="U589" s="4"/>
    </row>
    <row r="590" spans="1:21" ht="15.75" thickBot="1" x14ac:dyDescent="0.3">
      <c r="A590" s="8" t="s">
        <v>602</v>
      </c>
      <c r="B590" s="5">
        <v>321</v>
      </c>
      <c r="C590" s="14" t="s">
        <v>1395</v>
      </c>
      <c r="D590" s="5" t="s">
        <v>10</v>
      </c>
      <c r="E590" s="5" t="s">
        <v>11</v>
      </c>
      <c r="F590" s="5" t="s">
        <v>12</v>
      </c>
      <c r="G590" s="5">
        <v>103</v>
      </c>
      <c r="H590" s="5" t="s">
        <v>13</v>
      </c>
      <c r="I590" s="10" t="s">
        <v>603</v>
      </c>
      <c r="J590" s="4"/>
      <c r="K590" s="12">
        <f t="shared" ref="K590:K653" si="878">(C591-C590)*1000</f>
        <v>146.31499999999997</v>
      </c>
      <c r="L590" s="4"/>
      <c r="M590" s="12">
        <f t="shared" ref="M590:M653" si="879">K590-$L$2</f>
        <v>32.700573499999962</v>
      </c>
      <c r="N590" s="12">
        <f t="shared" ref="N590" si="880">M590^2</f>
        <v>1069.3275072288998</v>
      </c>
      <c r="O590" s="4"/>
      <c r="P590" s="4"/>
      <c r="Q590" s="4"/>
      <c r="R590" s="4"/>
      <c r="S590" s="4"/>
      <c r="T590" s="4"/>
      <c r="U590" s="4"/>
    </row>
    <row r="591" spans="1:21" ht="15.75" thickBot="1" x14ac:dyDescent="0.3">
      <c r="A591" s="9"/>
      <c r="B591" s="6">
        <v>353</v>
      </c>
      <c r="C591" s="13" t="s">
        <v>1396</v>
      </c>
      <c r="D591" s="6" t="s">
        <v>10</v>
      </c>
      <c r="E591" s="6" t="s">
        <v>11</v>
      </c>
      <c r="F591" s="6" t="s">
        <v>15</v>
      </c>
      <c r="G591" s="6">
        <v>164</v>
      </c>
      <c r="H591" s="6" t="s">
        <v>16</v>
      </c>
      <c r="I591" s="11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</row>
    <row r="592" spans="1:21" ht="15.75" thickBot="1" x14ac:dyDescent="0.3">
      <c r="A592" s="8" t="s">
        <v>604</v>
      </c>
      <c r="B592" s="5">
        <v>299</v>
      </c>
      <c r="C592" s="14" t="s">
        <v>1397</v>
      </c>
      <c r="D592" s="5" t="s">
        <v>10</v>
      </c>
      <c r="E592" s="5" t="s">
        <v>11</v>
      </c>
      <c r="F592" s="5" t="s">
        <v>12</v>
      </c>
      <c r="G592" s="5">
        <v>103</v>
      </c>
      <c r="H592" s="5" t="s">
        <v>13</v>
      </c>
      <c r="I592" s="10" t="s">
        <v>605</v>
      </c>
      <c r="J592" s="4"/>
      <c r="K592" s="12">
        <f t="shared" ref="K592:K655" si="881">(C593-C592)*1000</f>
        <v>112.11860000000007</v>
      </c>
      <c r="L592" s="4"/>
      <c r="M592" s="12">
        <f t="shared" ref="M592:M655" si="882">K592-$L$2</f>
        <v>-1.4958264999999358</v>
      </c>
      <c r="N592" s="12">
        <f t="shared" ref="N592" si="883">M592^2</f>
        <v>2.2374969181020581</v>
      </c>
      <c r="O592" s="4"/>
      <c r="P592" s="4"/>
      <c r="Q592" s="4"/>
      <c r="R592" s="4"/>
      <c r="S592" s="4"/>
      <c r="T592" s="4"/>
      <c r="U592" s="4"/>
    </row>
    <row r="593" spans="1:21" ht="15.75" thickBot="1" x14ac:dyDescent="0.3">
      <c r="A593" s="9"/>
      <c r="B593" s="6">
        <v>325</v>
      </c>
      <c r="C593" s="13" t="s">
        <v>1398</v>
      </c>
      <c r="D593" s="6" t="s">
        <v>10</v>
      </c>
      <c r="E593" s="6" t="s">
        <v>11</v>
      </c>
      <c r="F593" s="6" t="s">
        <v>15</v>
      </c>
      <c r="G593" s="6">
        <v>164</v>
      </c>
      <c r="H593" s="6" t="s">
        <v>16</v>
      </c>
      <c r="I593" s="11"/>
      <c r="J593" s="4"/>
      <c r="K593" s="12"/>
      <c r="L593" s="4"/>
      <c r="M593" s="4"/>
      <c r="N593" s="4"/>
      <c r="O593" s="4"/>
      <c r="P593" s="4"/>
      <c r="Q593" s="4"/>
      <c r="R593" s="4"/>
      <c r="S593" s="4"/>
      <c r="T593" s="4"/>
      <c r="U593" s="4"/>
    </row>
    <row r="594" spans="1:21" ht="15.75" thickBot="1" x14ac:dyDescent="0.3">
      <c r="A594" s="8" t="s">
        <v>606</v>
      </c>
      <c r="B594" s="5">
        <v>316</v>
      </c>
      <c r="C594" s="14" t="s">
        <v>1399</v>
      </c>
      <c r="D594" s="5" t="s">
        <v>10</v>
      </c>
      <c r="E594" s="5" t="s">
        <v>11</v>
      </c>
      <c r="F594" s="5" t="s">
        <v>12</v>
      </c>
      <c r="G594" s="5">
        <v>103</v>
      </c>
      <c r="H594" s="5" t="s">
        <v>13</v>
      </c>
      <c r="I594" s="10" t="s">
        <v>607</v>
      </c>
      <c r="J594" s="4"/>
      <c r="K594" s="12">
        <f t="shared" ref="K594:K657" si="884">(C595-C594)*1000</f>
        <v>116.88049999999994</v>
      </c>
      <c r="L594" s="4"/>
      <c r="M594" s="12">
        <f t="shared" ref="M594:M657" si="885">K594-$L$2</f>
        <v>3.2660734999999335</v>
      </c>
      <c r="N594" s="12">
        <f t="shared" ref="N594" si="886">M594^2</f>
        <v>10.667236107401814</v>
      </c>
      <c r="O594" s="4"/>
      <c r="P594" s="4"/>
      <c r="Q594" s="4"/>
      <c r="R594" s="4"/>
      <c r="S594" s="4"/>
      <c r="T594" s="4"/>
      <c r="U594" s="4"/>
    </row>
    <row r="595" spans="1:21" ht="15.75" thickBot="1" x14ac:dyDescent="0.3">
      <c r="A595" s="9"/>
      <c r="B595" s="6">
        <v>355</v>
      </c>
      <c r="C595" s="13" t="s">
        <v>1400</v>
      </c>
      <c r="D595" s="6" t="s">
        <v>10</v>
      </c>
      <c r="E595" s="6" t="s">
        <v>11</v>
      </c>
      <c r="F595" s="6" t="s">
        <v>15</v>
      </c>
      <c r="G595" s="6">
        <v>164</v>
      </c>
      <c r="H595" s="6" t="s">
        <v>16</v>
      </c>
      <c r="I595" s="11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</row>
    <row r="596" spans="1:21" ht="15.75" thickBot="1" x14ac:dyDescent="0.3">
      <c r="A596" s="8" t="s">
        <v>608</v>
      </c>
      <c r="B596" s="5">
        <v>286</v>
      </c>
      <c r="C596" s="14" t="s">
        <v>1401</v>
      </c>
      <c r="D596" s="5" t="s">
        <v>10</v>
      </c>
      <c r="E596" s="5" t="s">
        <v>11</v>
      </c>
      <c r="F596" s="5" t="s">
        <v>12</v>
      </c>
      <c r="G596" s="5">
        <v>103</v>
      </c>
      <c r="H596" s="5" t="s">
        <v>13</v>
      </c>
      <c r="I596" s="10" t="s">
        <v>609</v>
      </c>
      <c r="J596" s="4"/>
      <c r="K596" s="12">
        <f t="shared" ref="K596:K659" si="887">(C597-C596)*1000</f>
        <v>65.978300000000047</v>
      </c>
      <c r="L596" s="4"/>
      <c r="M596" s="12">
        <f t="shared" ref="M596:M659" si="888">K596-$L$2</f>
        <v>-47.636126499999961</v>
      </c>
      <c r="N596" s="12">
        <f t="shared" ref="N596" si="889">M596^2</f>
        <v>2269.2005479239983</v>
      </c>
      <c r="O596" s="4"/>
      <c r="P596" s="4"/>
      <c r="Q596" s="4"/>
      <c r="R596" s="4"/>
      <c r="S596" s="4"/>
      <c r="T596" s="4"/>
      <c r="U596" s="4"/>
    </row>
    <row r="597" spans="1:21" ht="15.75" thickBot="1" x14ac:dyDescent="0.3">
      <c r="A597" s="9"/>
      <c r="B597" s="6">
        <v>306</v>
      </c>
      <c r="C597" s="13" t="s">
        <v>1402</v>
      </c>
      <c r="D597" s="6" t="s">
        <v>10</v>
      </c>
      <c r="E597" s="6" t="s">
        <v>11</v>
      </c>
      <c r="F597" s="6" t="s">
        <v>15</v>
      </c>
      <c r="G597" s="6">
        <v>164</v>
      </c>
      <c r="H597" s="6" t="s">
        <v>16</v>
      </c>
      <c r="I597" s="11"/>
      <c r="J597" s="4"/>
      <c r="K597" s="12"/>
      <c r="L597" s="4"/>
      <c r="M597" s="4"/>
      <c r="N597" s="4"/>
      <c r="O597" s="4"/>
      <c r="P597" s="4"/>
      <c r="Q597" s="4"/>
      <c r="R597" s="4"/>
      <c r="S597" s="4"/>
      <c r="T597" s="4"/>
      <c r="U597" s="4"/>
    </row>
    <row r="598" spans="1:21" ht="15.75" thickBot="1" x14ac:dyDescent="0.3">
      <c r="A598" s="8" t="s">
        <v>610</v>
      </c>
      <c r="B598" s="5">
        <v>303</v>
      </c>
      <c r="C598" s="14" t="s">
        <v>1403</v>
      </c>
      <c r="D598" s="5" t="s">
        <v>10</v>
      </c>
      <c r="E598" s="5" t="s">
        <v>11</v>
      </c>
      <c r="F598" s="5" t="s">
        <v>12</v>
      </c>
      <c r="G598" s="5">
        <v>103</v>
      </c>
      <c r="H598" s="5" t="s">
        <v>13</v>
      </c>
      <c r="I598" s="10" t="s">
        <v>611</v>
      </c>
      <c r="J598" s="4"/>
      <c r="K598" s="12">
        <f t="shared" ref="K598:K661" si="890">(C599-C598)*1000</f>
        <v>144.74849999999995</v>
      </c>
      <c r="L598" s="4"/>
      <c r="M598" s="12">
        <f t="shared" ref="M598:M661" si="891">K598-$L$2</f>
        <v>31.134073499999943</v>
      </c>
      <c r="N598" s="12">
        <f t="shared" ref="N598" si="892">M598^2</f>
        <v>969.33053270339872</v>
      </c>
      <c r="O598" s="4"/>
      <c r="P598" s="4"/>
      <c r="Q598" s="4"/>
      <c r="R598" s="4"/>
      <c r="S598" s="4"/>
      <c r="T598" s="4"/>
      <c r="U598" s="4"/>
    </row>
    <row r="599" spans="1:21" ht="15.75" thickBot="1" x14ac:dyDescent="0.3">
      <c r="A599" s="9"/>
      <c r="B599" s="6">
        <v>330</v>
      </c>
      <c r="C599" s="13" t="s">
        <v>1404</v>
      </c>
      <c r="D599" s="6" t="s">
        <v>10</v>
      </c>
      <c r="E599" s="6" t="s">
        <v>11</v>
      </c>
      <c r="F599" s="6" t="s">
        <v>15</v>
      </c>
      <c r="G599" s="6">
        <v>164</v>
      </c>
      <c r="H599" s="6" t="s">
        <v>16</v>
      </c>
      <c r="I599" s="11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</row>
    <row r="600" spans="1:21" ht="15.75" thickBot="1" x14ac:dyDescent="0.3">
      <c r="A600" s="8" t="s">
        <v>612</v>
      </c>
      <c r="B600" s="5">
        <v>273</v>
      </c>
      <c r="C600" s="14" t="s">
        <v>1405</v>
      </c>
      <c r="D600" s="5" t="s">
        <v>10</v>
      </c>
      <c r="E600" s="5" t="s">
        <v>11</v>
      </c>
      <c r="F600" s="5" t="s">
        <v>12</v>
      </c>
      <c r="G600" s="5">
        <v>103</v>
      </c>
      <c r="H600" s="5" t="s">
        <v>13</v>
      </c>
      <c r="I600" s="10" t="s">
        <v>613</v>
      </c>
      <c r="J600" s="4"/>
      <c r="K600" s="12">
        <f t="shared" ref="K600:K663" si="893">(C601-C600)*1000</f>
        <v>214.75840000000002</v>
      </c>
      <c r="L600" s="4"/>
      <c r="M600" s="12">
        <f t="shared" ref="M600:M663" si="894">K600-$L$2</f>
        <v>101.14397350000002</v>
      </c>
      <c r="N600" s="12">
        <f t="shared" ref="N600" si="895">M600^2</f>
        <v>10230.103375368706</v>
      </c>
      <c r="O600" s="4"/>
      <c r="P600" s="4"/>
      <c r="Q600" s="4"/>
      <c r="R600" s="4"/>
      <c r="S600" s="4"/>
      <c r="T600" s="4"/>
      <c r="U600" s="4"/>
    </row>
    <row r="601" spans="1:21" ht="15.75" thickBot="1" x14ac:dyDescent="0.3">
      <c r="A601" s="9"/>
      <c r="B601" s="6">
        <v>313</v>
      </c>
      <c r="C601" s="13" t="s">
        <v>1406</v>
      </c>
      <c r="D601" s="6" t="s">
        <v>10</v>
      </c>
      <c r="E601" s="6" t="s">
        <v>11</v>
      </c>
      <c r="F601" s="6" t="s">
        <v>15</v>
      </c>
      <c r="G601" s="6">
        <v>164</v>
      </c>
      <c r="H601" s="6" t="s">
        <v>16</v>
      </c>
      <c r="I601" s="11"/>
      <c r="J601" s="4"/>
      <c r="K601" s="12"/>
      <c r="L601" s="4"/>
      <c r="M601" s="4"/>
      <c r="N601" s="4"/>
      <c r="O601" s="4"/>
      <c r="P601" s="4"/>
      <c r="Q601" s="4"/>
      <c r="R601" s="4"/>
      <c r="S601" s="4"/>
      <c r="T601" s="4"/>
      <c r="U601" s="4"/>
    </row>
    <row r="602" spans="1:21" ht="15.75" thickBot="1" x14ac:dyDescent="0.3">
      <c r="A602" s="8" t="s">
        <v>614</v>
      </c>
      <c r="B602" s="5">
        <v>232</v>
      </c>
      <c r="C602" s="14" t="s">
        <v>1407</v>
      </c>
      <c r="D602" s="5" t="s">
        <v>10</v>
      </c>
      <c r="E602" s="5" t="s">
        <v>11</v>
      </c>
      <c r="F602" s="5" t="s">
        <v>12</v>
      </c>
      <c r="G602" s="5">
        <v>103</v>
      </c>
      <c r="H602" s="5" t="s">
        <v>13</v>
      </c>
      <c r="I602" s="10" t="s">
        <v>615</v>
      </c>
      <c r="J602" s="4"/>
      <c r="K602" s="12">
        <f t="shared" ref="K602:K633" si="896">(C603-C602)*1000</f>
        <v>173.82429999999994</v>
      </c>
      <c r="L602" s="4"/>
      <c r="M602" s="12">
        <f t="shared" ref="M602:M633" si="897">K602-$L$2</f>
        <v>60.209873499999929</v>
      </c>
      <c r="N602" s="12">
        <f t="shared" ref="N602" si="898">M602^2</f>
        <v>3625.2288668859937</v>
      </c>
      <c r="O602" s="4"/>
      <c r="P602" s="4"/>
      <c r="Q602" s="4"/>
      <c r="R602" s="4"/>
      <c r="S602" s="4"/>
      <c r="T602" s="4"/>
      <c r="U602" s="4"/>
    </row>
    <row r="603" spans="1:21" ht="15.75" thickBot="1" x14ac:dyDescent="0.3">
      <c r="A603" s="9"/>
      <c r="B603" s="6">
        <v>275</v>
      </c>
      <c r="C603" s="13" t="s">
        <v>1408</v>
      </c>
      <c r="D603" s="6" t="s">
        <v>10</v>
      </c>
      <c r="E603" s="6" t="s">
        <v>11</v>
      </c>
      <c r="F603" s="6" t="s">
        <v>15</v>
      </c>
      <c r="G603" s="6">
        <v>164</v>
      </c>
      <c r="H603" s="6" t="s">
        <v>16</v>
      </c>
      <c r="I603" s="11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</row>
    <row r="604" spans="1:21" ht="15.75" thickBot="1" x14ac:dyDescent="0.3">
      <c r="A604" s="8" t="s">
        <v>616</v>
      </c>
      <c r="B604" s="5">
        <v>254</v>
      </c>
      <c r="C604" s="14" t="s">
        <v>1409</v>
      </c>
      <c r="D604" s="5" t="s">
        <v>10</v>
      </c>
      <c r="E604" s="5" t="s">
        <v>11</v>
      </c>
      <c r="F604" s="5" t="s">
        <v>12</v>
      </c>
      <c r="G604" s="5">
        <v>103</v>
      </c>
      <c r="H604" s="5" t="s">
        <v>13</v>
      </c>
      <c r="I604" s="10" t="s">
        <v>617</v>
      </c>
      <c r="J604" s="4"/>
      <c r="K604" s="12">
        <f t="shared" ref="K604:K635" si="899">(C605-C604)*1000</f>
        <v>158.63669999999996</v>
      </c>
      <c r="L604" s="4"/>
      <c r="M604" s="12">
        <f t="shared" ref="M604:M635" si="900">K604-$L$2</f>
        <v>45.022273499999955</v>
      </c>
      <c r="N604" s="12">
        <f t="shared" ref="N604" si="901">M604^2</f>
        <v>2027.0051111087982</v>
      </c>
      <c r="O604" s="4"/>
      <c r="P604" s="4"/>
      <c r="Q604" s="4"/>
      <c r="R604" s="4"/>
      <c r="S604" s="4"/>
      <c r="T604" s="4"/>
      <c r="U604" s="4"/>
    </row>
    <row r="605" spans="1:21" ht="15.75" thickBot="1" x14ac:dyDescent="0.3">
      <c r="A605" s="9"/>
      <c r="B605" s="6">
        <v>291</v>
      </c>
      <c r="C605" s="13" t="s">
        <v>1410</v>
      </c>
      <c r="D605" s="6" t="s">
        <v>10</v>
      </c>
      <c r="E605" s="6" t="s">
        <v>11</v>
      </c>
      <c r="F605" s="6" t="s">
        <v>15</v>
      </c>
      <c r="G605" s="6">
        <v>164</v>
      </c>
      <c r="H605" s="6" t="s">
        <v>16</v>
      </c>
      <c r="I605" s="11"/>
      <c r="J605" s="4"/>
      <c r="K605" s="12"/>
      <c r="L605" s="4"/>
      <c r="M605" s="4"/>
      <c r="N605" s="4"/>
      <c r="O605" s="4"/>
      <c r="P605" s="4"/>
      <c r="Q605" s="4"/>
      <c r="R605" s="4"/>
      <c r="S605" s="4"/>
      <c r="T605" s="4"/>
      <c r="U605" s="4"/>
    </row>
    <row r="606" spans="1:21" ht="15.75" thickBot="1" x14ac:dyDescent="0.3">
      <c r="A606" s="8" t="s">
        <v>618</v>
      </c>
      <c r="B606" s="5">
        <v>269</v>
      </c>
      <c r="C606" s="14" t="s">
        <v>1411</v>
      </c>
      <c r="D606" s="5" t="s">
        <v>10</v>
      </c>
      <c r="E606" s="5" t="s">
        <v>11</v>
      </c>
      <c r="F606" s="5" t="s">
        <v>12</v>
      </c>
      <c r="G606" s="5">
        <v>103</v>
      </c>
      <c r="H606" s="5" t="s">
        <v>13</v>
      </c>
      <c r="I606" s="10" t="s">
        <v>619</v>
      </c>
      <c r="J606" s="4"/>
      <c r="K606" s="12">
        <f t="shared" ref="K606:K637" si="902">(C607-C606)*1000</f>
        <v>74.322299999999956</v>
      </c>
      <c r="L606" s="4"/>
      <c r="M606" s="12">
        <f t="shared" ref="M606:M637" si="903">K606-$L$2</f>
        <v>-39.292126500000052</v>
      </c>
      <c r="N606" s="12">
        <f t="shared" ref="N606" si="904">M606^2</f>
        <v>1543.8712048920063</v>
      </c>
      <c r="O606" s="4"/>
      <c r="P606" s="4"/>
      <c r="Q606" s="4"/>
      <c r="R606" s="4"/>
      <c r="S606" s="4"/>
      <c r="T606" s="4"/>
      <c r="U606" s="4"/>
    </row>
    <row r="607" spans="1:21" ht="15.75" thickBot="1" x14ac:dyDescent="0.3">
      <c r="A607" s="9"/>
      <c r="B607" s="6">
        <v>289</v>
      </c>
      <c r="C607" s="13" t="s">
        <v>1412</v>
      </c>
      <c r="D607" s="6" t="s">
        <v>10</v>
      </c>
      <c r="E607" s="6" t="s">
        <v>11</v>
      </c>
      <c r="F607" s="6" t="s">
        <v>15</v>
      </c>
      <c r="G607" s="6">
        <v>164</v>
      </c>
      <c r="H607" s="6" t="s">
        <v>16</v>
      </c>
      <c r="I607" s="11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</row>
    <row r="608" spans="1:21" ht="15.75" thickBot="1" x14ac:dyDescent="0.3">
      <c r="A608" s="8" t="s">
        <v>620</v>
      </c>
      <c r="B608" s="5">
        <v>254</v>
      </c>
      <c r="C608" s="14" t="s">
        <v>1413</v>
      </c>
      <c r="D608" s="5" t="s">
        <v>10</v>
      </c>
      <c r="E608" s="5" t="s">
        <v>11</v>
      </c>
      <c r="F608" s="5" t="s">
        <v>12</v>
      </c>
      <c r="G608" s="5">
        <v>103</v>
      </c>
      <c r="H608" s="5" t="s">
        <v>13</v>
      </c>
      <c r="I608" s="10" t="s">
        <v>621</v>
      </c>
      <c r="J608" s="4"/>
      <c r="K608" s="12">
        <f t="shared" ref="K608:K639" si="905">(C609-C608)*1000</f>
        <v>44.189900000000115</v>
      </c>
      <c r="L608" s="4"/>
      <c r="M608" s="12">
        <f t="shared" ref="M608:M639" si="906">K608-$L$2</f>
        <v>-69.424526499999899</v>
      </c>
      <c r="N608" s="12">
        <f t="shared" ref="N608" si="907">M608^2</f>
        <v>4819.7648797491884</v>
      </c>
      <c r="O608" s="4"/>
      <c r="P608" s="4"/>
      <c r="Q608" s="4"/>
      <c r="R608" s="4"/>
      <c r="S608" s="4"/>
      <c r="T608" s="4"/>
      <c r="U608" s="4"/>
    </row>
    <row r="609" spans="1:21" ht="15.75" thickBot="1" x14ac:dyDescent="0.3">
      <c r="A609" s="9"/>
      <c r="B609" s="6">
        <v>266</v>
      </c>
      <c r="C609" s="13" t="s">
        <v>1414</v>
      </c>
      <c r="D609" s="6" t="s">
        <v>10</v>
      </c>
      <c r="E609" s="6" t="s">
        <v>11</v>
      </c>
      <c r="F609" s="6" t="s">
        <v>15</v>
      </c>
      <c r="G609" s="6">
        <v>164</v>
      </c>
      <c r="H609" s="6" t="s">
        <v>16</v>
      </c>
      <c r="I609" s="11"/>
      <c r="J609" s="4"/>
      <c r="K609" s="12"/>
      <c r="L609" s="4"/>
      <c r="M609" s="4"/>
      <c r="N609" s="4"/>
      <c r="O609" s="4"/>
      <c r="P609" s="4"/>
      <c r="Q609" s="4"/>
      <c r="R609" s="4"/>
      <c r="S609" s="4"/>
      <c r="T609" s="4"/>
      <c r="U609" s="4"/>
    </row>
    <row r="610" spans="1:21" ht="15.75" thickBot="1" x14ac:dyDescent="0.3">
      <c r="A610" s="8" t="s">
        <v>622</v>
      </c>
      <c r="B610" s="5">
        <v>271</v>
      </c>
      <c r="C610" s="14" t="s">
        <v>1415</v>
      </c>
      <c r="D610" s="5" t="s">
        <v>10</v>
      </c>
      <c r="E610" s="5" t="s">
        <v>11</v>
      </c>
      <c r="F610" s="5" t="s">
        <v>12</v>
      </c>
      <c r="G610" s="5">
        <v>103</v>
      </c>
      <c r="H610" s="5" t="s">
        <v>13</v>
      </c>
      <c r="I610" s="10" t="s">
        <v>623</v>
      </c>
      <c r="J610" s="4"/>
      <c r="K610" s="12">
        <f t="shared" ref="K610:K641" si="908">(C611-C610)*1000</f>
        <v>82.95849999999993</v>
      </c>
      <c r="L610" s="4"/>
      <c r="M610" s="12">
        <f t="shared" ref="M610:M641" si="909">K610-$L$2</f>
        <v>-30.655926500000078</v>
      </c>
      <c r="N610" s="12">
        <f t="shared" ref="N610" si="910">M610^2</f>
        <v>939.785829573407</v>
      </c>
      <c r="O610" s="4"/>
      <c r="P610" s="4"/>
      <c r="Q610" s="4"/>
      <c r="R610" s="4"/>
      <c r="S610" s="4"/>
      <c r="T610" s="4"/>
      <c r="U610" s="4"/>
    </row>
    <row r="611" spans="1:21" ht="15.75" thickBot="1" x14ac:dyDescent="0.3">
      <c r="A611" s="9"/>
      <c r="B611" s="6">
        <v>297</v>
      </c>
      <c r="C611" s="13" t="s">
        <v>1416</v>
      </c>
      <c r="D611" s="6" t="s">
        <v>10</v>
      </c>
      <c r="E611" s="6" t="s">
        <v>11</v>
      </c>
      <c r="F611" s="6" t="s">
        <v>15</v>
      </c>
      <c r="G611" s="6">
        <v>164</v>
      </c>
      <c r="H611" s="6" t="s">
        <v>16</v>
      </c>
      <c r="I611" s="11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</row>
    <row r="612" spans="1:21" ht="15.75" thickBot="1" x14ac:dyDescent="0.3">
      <c r="A612" s="8" t="s">
        <v>624</v>
      </c>
      <c r="B612" s="5">
        <v>243</v>
      </c>
      <c r="C612" s="14" t="s">
        <v>1417</v>
      </c>
      <c r="D612" s="5" t="s">
        <v>10</v>
      </c>
      <c r="E612" s="5" t="s">
        <v>11</v>
      </c>
      <c r="F612" s="5" t="s">
        <v>12</v>
      </c>
      <c r="G612" s="5">
        <v>103</v>
      </c>
      <c r="H612" s="5" t="s">
        <v>13</v>
      </c>
      <c r="I612" s="10" t="s">
        <v>625</v>
      </c>
      <c r="J612" s="4"/>
      <c r="K612" s="12">
        <f t="shared" ref="K612:K643" si="911">(C613-C612)*1000</f>
        <v>61.784899999999922</v>
      </c>
      <c r="L612" s="4"/>
      <c r="M612" s="12">
        <f t="shared" ref="M612:M643" si="912">K612-$L$2</f>
        <v>-51.829526500000085</v>
      </c>
      <c r="N612" s="12">
        <f t="shared" ref="N612" si="913">M612^2</f>
        <v>2686.2998172142111</v>
      </c>
      <c r="O612" s="4"/>
      <c r="P612" s="4"/>
      <c r="Q612" s="4"/>
      <c r="R612" s="4"/>
      <c r="S612" s="4"/>
      <c r="T612" s="4"/>
      <c r="U612" s="4"/>
    </row>
    <row r="613" spans="1:21" ht="15.75" thickBot="1" x14ac:dyDescent="0.3">
      <c r="A613" s="9"/>
      <c r="B613" s="6">
        <v>263</v>
      </c>
      <c r="C613" s="13" t="s">
        <v>1418</v>
      </c>
      <c r="D613" s="6" t="s">
        <v>10</v>
      </c>
      <c r="E613" s="6" t="s">
        <v>11</v>
      </c>
      <c r="F613" s="6" t="s">
        <v>15</v>
      </c>
      <c r="G613" s="6">
        <v>164</v>
      </c>
      <c r="H613" s="6" t="s">
        <v>16</v>
      </c>
      <c r="I613" s="11"/>
      <c r="J613" s="4"/>
      <c r="K613" s="12"/>
      <c r="L613" s="4"/>
      <c r="M613" s="4"/>
      <c r="N613" s="4"/>
      <c r="O613" s="4"/>
      <c r="P613" s="4"/>
      <c r="Q613" s="4"/>
      <c r="R613" s="4"/>
      <c r="S613" s="4"/>
      <c r="T613" s="4"/>
      <c r="U613" s="4"/>
    </row>
    <row r="614" spans="1:21" ht="15.75" thickBot="1" x14ac:dyDescent="0.3">
      <c r="A614" s="8" t="s">
        <v>626</v>
      </c>
      <c r="B614" s="5">
        <v>232</v>
      </c>
      <c r="C614" s="14" t="s">
        <v>1419</v>
      </c>
      <c r="D614" s="5" t="s">
        <v>10</v>
      </c>
      <c r="E614" s="5" t="s">
        <v>11</v>
      </c>
      <c r="F614" s="5" t="s">
        <v>12</v>
      </c>
      <c r="G614" s="5">
        <v>103</v>
      </c>
      <c r="H614" s="5" t="s">
        <v>13</v>
      </c>
      <c r="I614" s="10" t="s">
        <v>627</v>
      </c>
      <c r="J614" s="4"/>
      <c r="K614" s="12">
        <f t="shared" ref="K614:K645" si="914">(C615-C614)*1000</f>
        <v>100.63850000000008</v>
      </c>
      <c r="L614" s="4"/>
      <c r="M614" s="12">
        <f t="shared" ref="M614:M645" si="915">K614-$L$2</f>
        <v>-12.975926499999929</v>
      </c>
      <c r="N614" s="12">
        <f t="shared" ref="N614" si="916">M614^2</f>
        <v>168.37466853340041</v>
      </c>
      <c r="O614" s="4"/>
      <c r="P614" s="4"/>
      <c r="Q614" s="4"/>
      <c r="R614" s="4"/>
      <c r="S614" s="4"/>
      <c r="T614" s="4"/>
      <c r="U614" s="4"/>
    </row>
    <row r="615" spans="1:21" ht="15.75" thickBot="1" x14ac:dyDescent="0.3">
      <c r="A615" s="9"/>
      <c r="B615" s="6">
        <v>259</v>
      </c>
      <c r="C615" s="13" t="s">
        <v>1420</v>
      </c>
      <c r="D615" s="6" t="s">
        <v>10</v>
      </c>
      <c r="E615" s="6" t="s">
        <v>11</v>
      </c>
      <c r="F615" s="6" t="s">
        <v>15</v>
      </c>
      <c r="G615" s="6">
        <v>164</v>
      </c>
      <c r="H615" s="6" t="s">
        <v>16</v>
      </c>
      <c r="I615" s="11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</row>
    <row r="616" spans="1:21" ht="15.75" thickBot="1" x14ac:dyDescent="0.3">
      <c r="A616" s="8" t="s">
        <v>628</v>
      </c>
      <c r="B616" s="5">
        <v>233</v>
      </c>
      <c r="C616" s="14" t="s">
        <v>1421</v>
      </c>
      <c r="D616" s="5" t="s">
        <v>10</v>
      </c>
      <c r="E616" s="5" t="s">
        <v>11</v>
      </c>
      <c r="F616" s="5" t="s">
        <v>12</v>
      </c>
      <c r="G616" s="5">
        <v>103</v>
      </c>
      <c r="H616" s="5" t="s">
        <v>13</v>
      </c>
      <c r="I616" s="10" t="s">
        <v>629</v>
      </c>
      <c r="J616" s="4"/>
      <c r="K616" s="12">
        <f t="shared" ref="K616:K647" si="917">(C617-C616)*1000</f>
        <v>124.22739999999988</v>
      </c>
      <c r="L616" s="4"/>
      <c r="M616" s="12">
        <f t="shared" ref="M616:M647" si="918">K616-$L$2</f>
        <v>10.612973499999867</v>
      </c>
      <c r="N616" s="12">
        <f t="shared" ref="N616" si="919">M616^2</f>
        <v>112.63520651169944</v>
      </c>
      <c r="O616" s="4"/>
      <c r="P616" s="4"/>
      <c r="Q616" s="4"/>
      <c r="R616" s="4"/>
      <c r="S616" s="4"/>
      <c r="T616" s="4"/>
      <c r="U616" s="4"/>
    </row>
    <row r="617" spans="1:21" ht="15.75" thickBot="1" x14ac:dyDescent="0.3">
      <c r="A617" s="9"/>
      <c r="B617" s="6">
        <v>260</v>
      </c>
      <c r="C617" s="13" t="s">
        <v>1422</v>
      </c>
      <c r="D617" s="6" t="s">
        <v>10</v>
      </c>
      <c r="E617" s="6" t="s">
        <v>11</v>
      </c>
      <c r="F617" s="6" t="s">
        <v>15</v>
      </c>
      <c r="G617" s="6">
        <v>164</v>
      </c>
      <c r="H617" s="6" t="s">
        <v>16</v>
      </c>
      <c r="I617" s="11"/>
      <c r="J617" s="4"/>
      <c r="K617" s="12"/>
      <c r="L617" s="4"/>
      <c r="M617" s="4"/>
      <c r="N617" s="4"/>
      <c r="O617" s="4"/>
      <c r="P617" s="4"/>
      <c r="Q617" s="4"/>
      <c r="R617" s="4"/>
      <c r="S617" s="4"/>
      <c r="T617" s="4"/>
      <c r="U617" s="4"/>
    </row>
    <row r="618" spans="1:21" ht="15.75" thickBot="1" x14ac:dyDescent="0.3">
      <c r="A618" s="8" t="s">
        <v>630</v>
      </c>
      <c r="B618" s="5">
        <v>220</v>
      </c>
      <c r="C618" s="14" t="s">
        <v>1423</v>
      </c>
      <c r="D618" s="5" t="s">
        <v>10</v>
      </c>
      <c r="E618" s="5" t="s">
        <v>11</v>
      </c>
      <c r="F618" s="5" t="s">
        <v>12</v>
      </c>
      <c r="G618" s="5">
        <v>103</v>
      </c>
      <c r="H618" s="5" t="s">
        <v>13</v>
      </c>
      <c r="I618" s="10" t="s">
        <v>631</v>
      </c>
      <c r="J618" s="4"/>
      <c r="K618" s="12">
        <f t="shared" ref="K618:K649" si="920">(C619-C618)*1000</f>
        <v>94.264300000000077</v>
      </c>
      <c r="L618" s="4"/>
      <c r="M618" s="12">
        <f t="shared" ref="M618:M649" si="921">K618-$L$2</f>
        <v>-19.350126499999931</v>
      </c>
      <c r="N618" s="12">
        <f t="shared" ref="N618" si="922">M618^2</f>
        <v>374.42739556599957</v>
      </c>
      <c r="O618" s="4"/>
      <c r="P618" s="4"/>
      <c r="Q618" s="4"/>
      <c r="R618" s="4"/>
      <c r="S618" s="4"/>
      <c r="T618" s="4"/>
      <c r="U618" s="4"/>
    </row>
    <row r="619" spans="1:21" ht="15.75" thickBot="1" x14ac:dyDescent="0.3">
      <c r="A619" s="9"/>
      <c r="B619" s="6">
        <v>245</v>
      </c>
      <c r="C619" s="13" t="s">
        <v>1424</v>
      </c>
      <c r="D619" s="6" t="s">
        <v>10</v>
      </c>
      <c r="E619" s="6" t="s">
        <v>11</v>
      </c>
      <c r="F619" s="6" t="s">
        <v>15</v>
      </c>
      <c r="G619" s="6">
        <v>164</v>
      </c>
      <c r="H619" s="6" t="s">
        <v>16</v>
      </c>
      <c r="I619" s="11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</row>
    <row r="620" spans="1:21" ht="15.75" thickBot="1" x14ac:dyDescent="0.3">
      <c r="A620" s="8" t="s">
        <v>632</v>
      </c>
      <c r="B620" s="5">
        <v>270</v>
      </c>
      <c r="C620" s="14" t="s">
        <v>1425</v>
      </c>
      <c r="D620" s="5" t="s">
        <v>10</v>
      </c>
      <c r="E620" s="5" t="s">
        <v>11</v>
      </c>
      <c r="F620" s="5" t="s">
        <v>12</v>
      </c>
      <c r="G620" s="5">
        <v>103</v>
      </c>
      <c r="H620" s="5" t="s">
        <v>13</v>
      </c>
      <c r="I620" s="10" t="s">
        <v>633</v>
      </c>
      <c r="J620" s="4"/>
      <c r="K620" s="12">
        <f t="shared" ref="K620:K651" si="923">(C621-C620)*1000</f>
        <v>111.73110000000008</v>
      </c>
      <c r="L620" s="4"/>
      <c r="M620" s="12">
        <f t="shared" ref="M620:M651" si="924">K620-$L$2</f>
        <v>-1.8833264999999244</v>
      </c>
      <c r="N620" s="12">
        <f t="shared" ref="N620" si="925">M620^2</f>
        <v>3.5469187056019651</v>
      </c>
      <c r="O620" s="4"/>
      <c r="P620" s="4"/>
      <c r="Q620" s="4"/>
      <c r="R620" s="4"/>
      <c r="S620" s="4"/>
      <c r="T620" s="4"/>
      <c r="U620" s="4"/>
    </row>
    <row r="621" spans="1:21" ht="15.75" thickBot="1" x14ac:dyDescent="0.3">
      <c r="A621" s="9"/>
      <c r="B621" s="6">
        <v>301</v>
      </c>
      <c r="C621" s="13" t="s">
        <v>1426</v>
      </c>
      <c r="D621" s="6" t="s">
        <v>10</v>
      </c>
      <c r="E621" s="6" t="s">
        <v>11</v>
      </c>
      <c r="F621" s="6" t="s">
        <v>15</v>
      </c>
      <c r="G621" s="6">
        <v>164</v>
      </c>
      <c r="H621" s="6" t="s">
        <v>16</v>
      </c>
      <c r="I621" s="11"/>
      <c r="J621" s="4"/>
      <c r="K621" s="12"/>
      <c r="L621" s="4"/>
      <c r="M621" s="4"/>
      <c r="N621" s="4"/>
      <c r="O621" s="4"/>
      <c r="P621" s="4"/>
      <c r="Q621" s="4"/>
      <c r="R621" s="4"/>
      <c r="S621" s="4"/>
      <c r="T621" s="4"/>
      <c r="U621" s="4"/>
    </row>
    <row r="622" spans="1:21" ht="15.75" thickBot="1" x14ac:dyDescent="0.3">
      <c r="A622" s="8" t="s">
        <v>634</v>
      </c>
      <c r="B622" s="5">
        <v>188</v>
      </c>
      <c r="C622" s="14" t="s">
        <v>1427</v>
      </c>
      <c r="D622" s="5" t="s">
        <v>10</v>
      </c>
      <c r="E622" s="5" t="s">
        <v>11</v>
      </c>
      <c r="F622" s="5" t="s">
        <v>12</v>
      </c>
      <c r="G622" s="5">
        <v>103</v>
      </c>
      <c r="H622" s="5" t="s">
        <v>13</v>
      </c>
      <c r="I622" s="10" t="s">
        <v>635</v>
      </c>
      <c r="J622" s="4"/>
      <c r="K622" s="12">
        <f t="shared" ref="K622:K653" si="926">(C623-C622)*1000</f>
        <v>93.974999999999923</v>
      </c>
      <c r="L622" s="4"/>
      <c r="M622" s="12">
        <f t="shared" ref="M622:M653" si="927">K622-$L$2</f>
        <v>-19.639426500000084</v>
      </c>
      <c r="N622" s="12">
        <f t="shared" ref="N622" si="928">M622^2</f>
        <v>385.70707324890554</v>
      </c>
      <c r="O622" s="4"/>
      <c r="P622" s="4"/>
      <c r="Q622" s="4"/>
      <c r="R622" s="4"/>
      <c r="S622" s="4"/>
      <c r="T622" s="4"/>
      <c r="U622" s="4"/>
    </row>
    <row r="623" spans="1:21" ht="15.75" thickBot="1" x14ac:dyDescent="0.3">
      <c r="A623" s="9"/>
      <c r="B623" s="6">
        <v>210</v>
      </c>
      <c r="C623" s="13" t="s">
        <v>1428</v>
      </c>
      <c r="D623" s="6" t="s">
        <v>10</v>
      </c>
      <c r="E623" s="6" t="s">
        <v>11</v>
      </c>
      <c r="F623" s="6" t="s">
        <v>15</v>
      </c>
      <c r="G623" s="6">
        <v>164</v>
      </c>
      <c r="H623" s="6" t="s">
        <v>16</v>
      </c>
      <c r="I623" s="11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</row>
    <row r="624" spans="1:21" ht="15.75" thickBot="1" x14ac:dyDescent="0.3">
      <c r="A624" s="8" t="s">
        <v>636</v>
      </c>
      <c r="B624" s="5">
        <v>251</v>
      </c>
      <c r="C624" s="14" t="s">
        <v>1429</v>
      </c>
      <c r="D624" s="5" t="s">
        <v>10</v>
      </c>
      <c r="E624" s="5" t="s">
        <v>11</v>
      </c>
      <c r="F624" s="5" t="s">
        <v>12</v>
      </c>
      <c r="G624" s="5">
        <v>103</v>
      </c>
      <c r="H624" s="5" t="s">
        <v>13</v>
      </c>
      <c r="I624" s="10" t="s">
        <v>637</v>
      </c>
      <c r="J624" s="4"/>
      <c r="K624" s="12">
        <f t="shared" ref="K624:K655" si="929">(C625-C624)*1000</f>
        <v>82.072999999999837</v>
      </c>
      <c r="L624" s="4"/>
      <c r="M624" s="12">
        <f t="shared" ref="M624:M655" si="930">K624-$L$2</f>
        <v>-31.541426500000171</v>
      </c>
      <c r="N624" s="12">
        <f t="shared" ref="N624" si="931">M624^2</f>
        <v>994.86158565491303</v>
      </c>
      <c r="O624" s="4"/>
      <c r="P624" s="4"/>
      <c r="Q624" s="4"/>
      <c r="R624" s="4"/>
      <c r="S624" s="4"/>
      <c r="T624" s="4"/>
      <c r="U624" s="4"/>
    </row>
    <row r="625" spans="1:21" ht="15.75" thickBot="1" x14ac:dyDescent="0.3">
      <c r="A625" s="9"/>
      <c r="B625" s="6">
        <v>273</v>
      </c>
      <c r="C625" s="13" t="s">
        <v>1430</v>
      </c>
      <c r="D625" s="6" t="s">
        <v>10</v>
      </c>
      <c r="E625" s="6" t="s">
        <v>11</v>
      </c>
      <c r="F625" s="6" t="s">
        <v>15</v>
      </c>
      <c r="G625" s="6">
        <v>164</v>
      </c>
      <c r="H625" s="6" t="s">
        <v>16</v>
      </c>
      <c r="I625" s="11"/>
      <c r="J625" s="4"/>
      <c r="K625" s="12"/>
      <c r="L625" s="4"/>
      <c r="M625" s="4"/>
      <c r="N625" s="4"/>
      <c r="O625" s="4"/>
      <c r="P625" s="4"/>
      <c r="Q625" s="4"/>
      <c r="R625" s="4"/>
      <c r="S625" s="4"/>
      <c r="T625" s="4"/>
      <c r="U625" s="4"/>
    </row>
    <row r="626" spans="1:21" ht="15.75" thickBot="1" x14ac:dyDescent="0.3">
      <c r="A626" s="8" t="s">
        <v>638</v>
      </c>
      <c r="B626" s="5">
        <v>247</v>
      </c>
      <c r="C626" s="14" t="s">
        <v>1431</v>
      </c>
      <c r="D626" s="5" t="s">
        <v>10</v>
      </c>
      <c r="E626" s="5" t="s">
        <v>11</v>
      </c>
      <c r="F626" s="5" t="s">
        <v>12</v>
      </c>
      <c r="G626" s="5">
        <v>103</v>
      </c>
      <c r="H626" s="5" t="s">
        <v>13</v>
      </c>
      <c r="I626" s="10" t="s">
        <v>639</v>
      </c>
      <c r="J626" s="4"/>
      <c r="K626" s="12">
        <f t="shared" ref="K626:K657" si="932">(C627-C626)*1000</f>
        <v>116.42729999999979</v>
      </c>
      <c r="L626" s="4"/>
      <c r="M626" s="12">
        <f t="shared" ref="M626:M657" si="933">K626-$L$2</f>
        <v>2.8128734999997818</v>
      </c>
      <c r="N626" s="12">
        <f t="shared" ref="N626" si="934">M626^2</f>
        <v>7.9122573270010221</v>
      </c>
      <c r="O626" s="4"/>
      <c r="P626" s="4"/>
      <c r="Q626" s="4"/>
      <c r="R626" s="4"/>
      <c r="S626" s="4"/>
      <c r="T626" s="4"/>
      <c r="U626" s="4"/>
    </row>
    <row r="627" spans="1:21" ht="15.75" thickBot="1" x14ac:dyDescent="0.3">
      <c r="A627" s="9"/>
      <c r="B627" s="6">
        <v>271</v>
      </c>
      <c r="C627" s="13" t="s">
        <v>1432</v>
      </c>
      <c r="D627" s="6" t="s">
        <v>10</v>
      </c>
      <c r="E627" s="6" t="s">
        <v>11</v>
      </c>
      <c r="F627" s="6" t="s">
        <v>15</v>
      </c>
      <c r="G627" s="6">
        <v>164</v>
      </c>
      <c r="H627" s="6" t="s">
        <v>16</v>
      </c>
      <c r="I627" s="11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</row>
    <row r="628" spans="1:21" ht="15.75" thickBot="1" x14ac:dyDescent="0.3">
      <c r="A628" s="8" t="s">
        <v>640</v>
      </c>
      <c r="B628" s="5">
        <v>204</v>
      </c>
      <c r="C628" s="14" t="s">
        <v>1433</v>
      </c>
      <c r="D628" s="5" t="s">
        <v>10</v>
      </c>
      <c r="E628" s="5" t="s">
        <v>11</v>
      </c>
      <c r="F628" s="5" t="s">
        <v>12</v>
      </c>
      <c r="G628" s="5">
        <v>103</v>
      </c>
      <c r="H628" s="5" t="s">
        <v>13</v>
      </c>
      <c r="I628" s="10" t="s">
        <v>641</v>
      </c>
      <c r="J628" s="4"/>
      <c r="K628" s="12">
        <f t="shared" ref="K628:K659" si="935">(C629-C628)*1000</f>
        <v>69.349300000000056</v>
      </c>
      <c r="L628" s="4"/>
      <c r="M628" s="12">
        <f t="shared" ref="M628:M659" si="936">K628-$L$2</f>
        <v>-44.265126499999951</v>
      </c>
      <c r="N628" s="12">
        <f t="shared" ref="N628" si="937">M628^2</f>
        <v>1959.4014240609979</v>
      </c>
      <c r="O628" s="4"/>
      <c r="P628" s="4"/>
      <c r="Q628" s="4"/>
      <c r="R628" s="4"/>
      <c r="S628" s="4"/>
      <c r="T628" s="4"/>
      <c r="U628" s="4"/>
    </row>
    <row r="629" spans="1:21" ht="15.75" thickBot="1" x14ac:dyDescent="0.3">
      <c r="A629" s="9"/>
      <c r="B629" s="6">
        <v>224</v>
      </c>
      <c r="C629" s="13" t="s">
        <v>1434</v>
      </c>
      <c r="D629" s="6" t="s">
        <v>10</v>
      </c>
      <c r="E629" s="6" t="s">
        <v>11</v>
      </c>
      <c r="F629" s="6" t="s">
        <v>15</v>
      </c>
      <c r="G629" s="6">
        <v>164</v>
      </c>
      <c r="H629" s="6" t="s">
        <v>16</v>
      </c>
      <c r="I629" s="11"/>
      <c r="J629" s="4"/>
      <c r="K629" s="12"/>
      <c r="L629" s="4"/>
      <c r="M629" s="4"/>
      <c r="N629" s="4"/>
      <c r="O629" s="4"/>
      <c r="P629" s="4"/>
      <c r="Q629" s="4"/>
      <c r="R629" s="4"/>
      <c r="S629" s="4"/>
      <c r="T629" s="4"/>
      <c r="U629" s="4"/>
    </row>
    <row r="630" spans="1:21" ht="15.75" thickBot="1" x14ac:dyDescent="0.3">
      <c r="A630" s="8" t="s">
        <v>642</v>
      </c>
      <c r="B630" s="5">
        <v>232</v>
      </c>
      <c r="C630" s="14" t="s">
        <v>1435</v>
      </c>
      <c r="D630" s="5" t="s">
        <v>10</v>
      </c>
      <c r="E630" s="5" t="s">
        <v>11</v>
      </c>
      <c r="F630" s="5" t="s">
        <v>12</v>
      </c>
      <c r="G630" s="5">
        <v>103</v>
      </c>
      <c r="H630" s="5" t="s">
        <v>13</v>
      </c>
      <c r="I630" s="10" t="s">
        <v>643</v>
      </c>
      <c r="J630" s="4"/>
      <c r="K630" s="12">
        <f t="shared" ref="K630:K661" si="938">(C631-C630)*1000</f>
        <v>137.80380000000014</v>
      </c>
      <c r="L630" s="4"/>
      <c r="M630" s="12">
        <f t="shared" ref="M630:M661" si="939">K630-$L$2</f>
        <v>24.18937350000013</v>
      </c>
      <c r="N630" s="12">
        <f t="shared" ref="N630" si="940">M630^2</f>
        <v>585.12579032250858</v>
      </c>
      <c r="O630" s="4"/>
      <c r="P630" s="4"/>
      <c r="Q630" s="4"/>
      <c r="R630" s="4"/>
      <c r="S630" s="4"/>
      <c r="T630" s="4"/>
      <c r="U630" s="4"/>
    </row>
    <row r="631" spans="1:21" ht="15.75" thickBot="1" x14ac:dyDescent="0.3">
      <c r="A631" s="9"/>
      <c r="B631" s="6">
        <v>281</v>
      </c>
      <c r="C631" s="13" t="s">
        <v>1436</v>
      </c>
      <c r="D631" s="6" t="s">
        <v>10</v>
      </c>
      <c r="E631" s="6" t="s">
        <v>11</v>
      </c>
      <c r="F631" s="6" t="s">
        <v>15</v>
      </c>
      <c r="G631" s="6">
        <v>164</v>
      </c>
      <c r="H631" s="6" t="s">
        <v>16</v>
      </c>
      <c r="I631" s="11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</row>
    <row r="632" spans="1:21" ht="15.75" thickBot="1" x14ac:dyDescent="0.3">
      <c r="A632" s="8" t="s">
        <v>644</v>
      </c>
      <c r="B632" s="5">
        <v>204</v>
      </c>
      <c r="C632" s="14" t="s">
        <v>1437</v>
      </c>
      <c r="D632" s="5" t="s">
        <v>10</v>
      </c>
      <c r="E632" s="5" t="s">
        <v>11</v>
      </c>
      <c r="F632" s="5" t="s">
        <v>12</v>
      </c>
      <c r="G632" s="5">
        <v>103</v>
      </c>
      <c r="H632" s="5" t="s">
        <v>13</v>
      </c>
      <c r="I632" s="10" t="s">
        <v>645</v>
      </c>
      <c r="J632" s="4"/>
      <c r="K632" s="12">
        <f t="shared" ref="K632:K663" si="941">(C633-C632)*1000</f>
        <v>86.959000000000003</v>
      </c>
      <c r="L632" s="4"/>
      <c r="M632" s="12">
        <f t="shared" ref="M632:M663" si="942">K632-$L$2</f>
        <v>-26.655426500000004</v>
      </c>
      <c r="N632" s="12">
        <f t="shared" ref="N632" si="943">M632^2</f>
        <v>710.5117618969025</v>
      </c>
      <c r="O632" s="4"/>
      <c r="P632" s="4"/>
      <c r="Q632" s="4"/>
      <c r="R632" s="4"/>
      <c r="S632" s="4"/>
      <c r="T632" s="4"/>
      <c r="U632" s="4"/>
    </row>
    <row r="633" spans="1:21" ht="15.75" thickBot="1" x14ac:dyDescent="0.3">
      <c r="A633" s="9"/>
      <c r="B633" s="6">
        <v>228</v>
      </c>
      <c r="C633" s="13" t="s">
        <v>1438</v>
      </c>
      <c r="D633" s="6" t="s">
        <v>10</v>
      </c>
      <c r="E633" s="6" t="s">
        <v>11</v>
      </c>
      <c r="F633" s="6" t="s">
        <v>15</v>
      </c>
      <c r="G633" s="6">
        <v>164</v>
      </c>
      <c r="H633" s="6" t="s">
        <v>16</v>
      </c>
      <c r="I633" s="11"/>
      <c r="J633" s="4"/>
      <c r="K633" s="12"/>
      <c r="L633" s="4"/>
      <c r="M633" s="4"/>
      <c r="N633" s="4"/>
      <c r="O633" s="4"/>
      <c r="P633" s="4"/>
      <c r="Q633" s="4"/>
      <c r="R633" s="4"/>
      <c r="S633" s="4"/>
      <c r="T633" s="4"/>
      <c r="U633" s="4"/>
    </row>
    <row r="634" spans="1:21" ht="15.75" thickBot="1" x14ac:dyDescent="0.3">
      <c r="A634" s="8" t="s">
        <v>646</v>
      </c>
      <c r="B634" s="5">
        <v>236</v>
      </c>
      <c r="C634" s="14" t="s">
        <v>1439</v>
      </c>
      <c r="D634" s="5" t="s">
        <v>10</v>
      </c>
      <c r="E634" s="5" t="s">
        <v>11</v>
      </c>
      <c r="F634" s="5" t="s">
        <v>12</v>
      </c>
      <c r="G634" s="5">
        <v>103</v>
      </c>
      <c r="H634" s="5" t="s">
        <v>13</v>
      </c>
      <c r="I634" s="10" t="s">
        <v>647</v>
      </c>
      <c r="J634" s="4"/>
      <c r="K634" s="12">
        <f t="shared" ref="K634:K665" si="944">(C635-C634)*1000</f>
        <v>132.10579999999993</v>
      </c>
      <c r="L634" s="4"/>
      <c r="M634" s="12">
        <f t="shared" ref="M634:M665" si="945">K634-$L$2</f>
        <v>18.491373499999924</v>
      </c>
      <c r="N634" s="12">
        <f t="shared" ref="N634" si="946">M634^2</f>
        <v>341.93089391649943</v>
      </c>
      <c r="O634" s="4"/>
      <c r="P634" s="4"/>
      <c r="Q634" s="4"/>
      <c r="R634" s="4"/>
      <c r="S634" s="4"/>
      <c r="T634" s="4"/>
      <c r="U634" s="4"/>
    </row>
    <row r="635" spans="1:21" ht="15.75" thickBot="1" x14ac:dyDescent="0.3">
      <c r="A635" s="9"/>
      <c r="B635" s="6">
        <v>270</v>
      </c>
      <c r="C635" s="13" t="s">
        <v>1440</v>
      </c>
      <c r="D635" s="6" t="s">
        <v>10</v>
      </c>
      <c r="E635" s="6" t="s">
        <v>11</v>
      </c>
      <c r="F635" s="6" t="s">
        <v>15</v>
      </c>
      <c r="G635" s="6">
        <v>164</v>
      </c>
      <c r="H635" s="6" t="s">
        <v>16</v>
      </c>
      <c r="I635" s="11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</row>
    <row r="636" spans="1:21" ht="15.75" thickBot="1" x14ac:dyDescent="0.3">
      <c r="A636" s="8" t="s">
        <v>648</v>
      </c>
      <c r="B636" s="5">
        <v>239</v>
      </c>
      <c r="C636" s="14" t="s">
        <v>1441</v>
      </c>
      <c r="D636" s="5" t="s">
        <v>10</v>
      </c>
      <c r="E636" s="5" t="s">
        <v>11</v>
      </c>
      <c r="F636" s="5" t="s">
        <v>12</v>
      </c>
      <c r="G636" s="5">
        <v>103</v>
      </c>
      <c r="H636" s="5" t="s">
        <v>13</v>
      </c>
      <c r="I636" s="10" t="s">
        <v>649</v>
      </c>
      <c r="J636" s="4"/>
      <c r="K636" s="12">
        <f t="shared" ref="K636:K667" si="947">(C637-C636)*1000</f>
        <v>182.89440000000013</v>
      </c>
      <c r="L636" s="4"/>
      <c r="M636" s="12">
        <f t="shared" ref="M636:M667" si="948">K636-$L$2</f>
        <v>69.279973500000125</v>
      </c>
      <c r="N636" s="12">
        <f t="shared" ref="N636" si="949">M636^2</f>
        <v>4799.7147281607195</v>
      </c>
      <c r="O636" s="4"/>
      <c r="P636" s="4"/>
      <c r="Q636" s="4"/>
      <c r="R636" s="4"/>
      <c r="S636" s="4"/>
      <c r="T636" s="4"/>
      <c r="U636" s="4"/>
    </row>
    <row r="637" spans="1:21" ht="15.75" thickBot="1" x14ac:dyDescent="0.3">
      <c r="A637" s="9"/>
      <c r="B637" s="6">
        <v>281</v>
      </c>
      <c r="C637" s="13" t="s">
        <v>1442</v>
      </c>
      <c r="D637" s="6" t="s">
        <v>10</v>
      </c>
      <c r="E637" s="6" t="s">
        <v>11</v>
      </c>
      <c r="F637" s="6" t="s">
        <v>15</v>
      </c>
      <c r="G637" s="6">
        <v>164</v>
      </c>
      <c r="H637" s="6" t="s">
        <v>16</v>
      </c>
      <c r="I637" s="11"/>
      <c r="J637" s="4"/>
      <c r="K637" s="12"/>
      <c r="L637" s="4"/>
      <c r="M637" s="4"/>
      <c r="N637" s="4"/>
      <c r="O637" s="4"/>
      <c r="P637" s="4"/>
      <c r="Q637" s="4"/>
      <c r="R637" s="4"/>
      <c r="S637" s="4"/>
      <c r="T637" s="4"/>
      <c r="U637" s="4"/>
    </row>
    <row r="638" spans="1:21" ht="15.75" thickBot="1" x14ac:dyDescent="0.3">
      <c r="A638" s="8" t="s">
        <v>650</v>
      </c>
      <c r="B638" s="5">
        <v>260</v>
      </c>
      <c r="C638" s="14" t="s">
        <v>1443</v>
      </c>
      <c r="D638" s="5" t="s">
        <v>10</v>
      </c>
      <c r="E638" s="5" t="s">
        <v>11</v>
      </c>
      <c r="F638" s="5" t="s">
        <v>12</v>
      </c>
      <c r="G638" s="5">
        <v>103</v>
      </c>
      <c r="H638" s="5" t="s">
        <v>13</v>
      </c>
      <c r="I638" s="10" t="s">
        <v>651</v>
      </c>
      <c r="J638" s="4"/>
      <c r="K638" s="12">
        <f t="shared" ref="K638:K669" si="950">(C639-C638)*1000</f>
        <v>46.482800000000154</v>
      </c>
      <c r="L638" s="4"/>
      <c r="M638" s="12">
        <f t="shared" ref="M638:M669" si="951">K638-$L$2</f>
        <v>-67.131626499999854</v>
      </c>
      <c r="N638" s="12">
        <f t="shared" ref="N638" si="952">M638^2</f>
        <v>4506.6552765354827</v>
      </c>
      <c r="O638" s="4"/>
      <c r="P638" s="4"/>
      <c r="Q638" s="4"/>
      <c r="R638" s="4"/>
      <c r="S638" s="4"/>
      <c r="T638" s="4"/>
      <c r="U638" s="4"/>
    </row>
    <row r="639" spans="1:21" ht="15.75" thickBot="1" x14ac:dyDescent="0.3">
      <c r="A639" s="9"/>
      <c r="B639" s="6">
        <v>271</v>
      </c>
      <c r="C639" s="13" t="s">
        <v>1444</v>
      </c>
      <c r="D639" s="6" t="s">
        <v>10</v>
      </c>
      <c r="E639" s="6" t="s">
        <v>11</v>
      </c>
      <c r="F639" s="6" t="s">
        <v>15</v>
      </c>
      <c r="G639" s="6">
        <v>164</v>
      </c>
      <c r="H639" s="6" t="s">
        <v>16</v>
      </c>
      <c r="I639" s="11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</row>
    <row r="640" spans="1:21" ht="15.75" thickBot="1" x14ac:dyDescent="0.3">
      <c r="A640" s="8" t="s">
        <v>652</v>
      </c>
      <c r="B640" s="5">
        <v>300</v>
      </c>
      <c r="C640" s="14" t="s">
        <v>1445</v>
      </c>
      <c r="D640" s="5" t="s">
        <v>10</v>
      </c>
      <c r="E640" s="5" t="s">
        <v>11</v>
      </c>
      <c r="F640" s="5" t="s">
        <v>12</v>
      </c>
      <c r="G640" s="5">
        <v>103</v>
      </c>
      <c r="H640" s="5" t="s">
        <v>13</v>
      </c>
      <c r="I640" s="10" t="s">
        <v>653</v>
      </c>
      <c r="J640" s="4"/>
      <c r="K640" s="12">
        <f t="shared" ref="K640:K671" si="953">(C641-C640)*1000</f>
        <v>42.656099999999867</v>
      </c>
      <c r="L640" s="4"/>
      <c r="M640" s="12">
        <f t="shared" ref="M640:M671" si="954">K640-$L$2</f>
        <v>-70.95832650000014</v>
      </c>
      <c r="N640" s="12">
        <f t="shared" ref="N640" si="955">M640^2</f>
        <v>5035.0840996806219</v>
      </c>
      <c r="O640" s="4"/>
      <c r="P640" s="4"/>
      <c r="Q640" s="4"/>
      <c r="R640" s="4"/>
      <c r="S640" s="4"/>
      <c r="T640" s="4"/>
      <c r="U640" s="4"/>
    </row>
    <row r="641" spans="1:21" ht="15.75" thickBot="1" x14ac:dyDescent="0.3">
      <c r="A641" s="9"/>
      <c r="B641" s="6">
        <v>311</v>
      </c>
      <c r="C641" s="13" t="s">
        <v>1446</v>
      </c>
      <c r="D641" s="6" t="s">
        <v>10</v>
      </c>
      <c r="E641" s="6" t="s">
        <v>11</v>
      </c>
      <c r="F641" s="6" t="s">
        <v>15</v>
      </c>
      <c r="G641" s="6">
        <v>164</v>
      </c>
      <c r="H641" s="6" t="s">
        <v>16</v>
      </c>
      <c r="I641" s="11"/>
      <c r="J641" s="4"/>
      <c r="K641" s="12"/>
      <c r="L641" s="4"/>
      <c r="M641" s="4"/>
      <c r="N641" s="4"/>
      <c r="O641" s="4"/>
      <c r="P641" s="4"/>
      <c r="Q641" s="4"/>
      <c r="R641" s="4"/>
      <c r="S641" s="4"/>
      <c r="T641" s="4"/>
      <c r="U641" s="4"/>
    </row>
    <row r="642" spans="1:21" ht="15.75" thickBot="1" x14ac:dyDescent="0.3">
      <c r="A642" s="8" t="s">
        <v>654</v>
      </c>
      <c r="B642" s="5">
        <v>264</v>
      </c>
      <c r="C642" s="14" t="s">
        <v>1447</v>
      </c>
      <c r="D642" s="5" t="s">
        <v>10</v>
      </c>
      <c r="E642" s="5" t="s">
        <v>11</v>
      </c>
      <c r="F642" s="5" t="s">
        <v>12</v>
      </c>
      <c r="G642" s="5">
        <v>103</v>
      </c>
      <c r="H642" s="5" t="s">
        <v>13</v>
      </c>
      <c r="I642" s="10" t="s">
        <v>655</v>
      </c>
      <c r="J642" s="4"/>
      <c r="K642" s="12">
        <f t="shared" ref="K642:K673" si="956">(C643-C642)*1000</f>
        <v>162.21249999999986</v>
      </c>
      <c r="L642" s="4"/>
      <c r="M642" s="12">
        <f t="shared" ref="M642:M673" si="957">K642-$L$2</f>
        <v>48.598073499999856</v>
      </c>
      <c r="N642" s="12">
        <f t="shared" ref="N642" si="958">M642^2</f>
        <v>2361.7727479113883</v>
      </c>
      <c r="O642" s="4"/>
      <c r="P642" s="4"/>
      <c r="Q642" s="4"/>
      <c r="R642" s="4"/>
      <c r="S642" s="4"/>
      <c r="T642" s="4"/>
      <c r="U642" s="4"/>
    </row>
    <row r="643" spans="1:21" ht="15.75" thickBot="1" x14ac:dyDescent="0.3">
      <c r="A643" s="9"/>
      <c r="B643" s="6">
        <v>300</v>
      </c>
      <c r="C643" s="13" t="s">
        <v>1448</v>
      </c>
      <c r="D643" s="6" t="s">
        <v>10</v>
      </c>
      <c r="E643" s="6" t="s">
        <v>11</v>
      </c>
      <c r="F643" s="6" t="s">
        <v>15</v>
      </c>
      <c r="G643" s="6">
        <v>164</v>
      </c>
      <c r="H643" s="6" t="s">
        <v>16</v>
      </c>
      <c r="I643" s="11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</row>
    <row r="644" spans="1:21" ht="15.75" thickBot="1" x14ac:dyDescent="0.3">
      <c r="A644" s="8" t="s">
        <v>656</v>
      </c>
      <c r="B644" s="5">
        <v>241</v>
      </c>
      <c r="C644" s="14" t="s">
        <v>1449</v>
      </c>
      <c r="D644" s="5" t="s">
        <v>10</v>
      </c>
      <c r="E644" s="5" t="s">
        <v>11</v>
      </c>
      <c r="F644" s="5" t="s">
        <v>12</v>
      </c>
      <c r="G644" s="5">
        <v>103</v>
      </c>
      <c r="H644" s="5" t="s">
        <v>13</v>
      </c>
      <c r="I644" s="10" t="s">
        <v>657</v>
      </c>
      <c r="J644" s="4"/>
      <c r="K644" s="12">
        <f t="shared" ref="K644:K675" si="959">(C645-C644)*1000</f>
        <v>169.83760000000015</v>
      </c>
      <c r="L644" s="4"/>
      <c r="M644" s="12">
        <f t="shared" ref="M644:M675" si="960">K644-$L$2</f>
        <v>56.223173500000144</v>
      </c>
      <c r="N644" s="12">
        <f t="shared" ref="N644" si="961">M644^2</f>
        <v>3161.0452384111186</v>
      </c>
      <c r="O644" s="4"/>
      <c r="P644" s="4"/>
      <c r="Q644" s="4"/>
      <c r="R644" s="4"/>
      <c r="S644" s="4"/>
      <c r="T644" s="4"/>
      <c r="U644" s="4"/>
    </row>
    <row r="645" spans="1:21" ht="15.75" thickBot="1" x14ac:dyDescent="0.3">
      <c r="A645" s="9"/>
      <c r="B645" s="6">
        <v>280</v>
      </c>
      <c r="C645" s="13" t="s">
        <v>1450</v>
      </c>
      <c r="D645" s="6" t="s">
        <v>10</v>
      </c>
      <c r="E645" s="6" t="s">
        <v>11</v>
      </c>
      <c r="F645" s="6" t="s">
        <v>15</v>
      </c>
      <c r="G645" s="6">
        <v>164</v>
      </c>
      <c r="H645" s="6" t="s">
        <v>16</v>
      </c>
      <c r="I645" s="11"/>
      <c r="J645" s="4"/>
      <c r="K645" s="12"/>
      <c r="L645" s="4"/>
      <c r="M645" s="4"/>
      <c r="N645" s="4"/>
      <c r="O645" s="4"/>
      <c r="P645" s="4"/>
      <c r="Q645" s="4"/>
      <c r="R645" s="4"/>
      <c r="S645" s="4"/>
      <c r="T645" s="4"/>
      <c r="U645" s="4"/>
    </row>
    <row r="646" spans="1:21" ht="15.75" thickBot="1" x14ac:dyDescent="0.3">
      <c r="A646" s="8" t="s">
        <v>658</v>
      </c>
      <c r="B646" s="5">
        <v>239</v>
      </c>
      <c r="C646" s="14" t="s">
        <v>1451</v>
      </c>
      <c r="D646" s="5" t="s">
        <v>10</v>
      </c>
      <c r="E646" s="5" t="s">
        <v>11</v>
      </c>
      <c r="F646" s="5" t="s">
        <v>12</v>
      </c>
      <c r="G646" s="5">
        <v>103</v>
      </c>
      <c r="H646" s="5" t="s">
        <v>13</v>
      </c>
      <c r="I646" s="10" t="s">
        <v>659</v>
      </c>
      <c r="J646" s="4"/>
      <c r="K646" s="12">
        <f t="shared" ref="K646:K677" si="962">(C647-C646)*1000</f>
        <v>122.21119999999996</v>
      </c>
      <c r="L646" s="4"/>
      <c r="M646" s="12">
        <f t="shared" ref="M646:M677" si="963">K646-$L$2</f>
        <v>8.596773499999955</v>
      </c>
      <c r="N646" s="12">
        <f t="shared" ref="N646" si="964">M646^2</f>
        <v>73.904514610301476</v>
      </c>
      <c r="O646" s="4"/>
      <c r="P646" s="4"/>
      <c r="Q646" s="4"/>
      <c r="R646" s="4"/>
      <c r="S646" s="4"/>
      <c r="T646" s="4"/>
      <c r="U646" s="4"/>
    </row>
    <row r="647" spans="1:21" ht="15.75" thickBot="1" x14ac:dyDescent="0.3">
      <c r="A647" s="9"/>
      <c r="B647" s="6">
        <v>268</v>
      </c>
      <c r="C647" s="13" t="s">
        <v>1452</v>
      </c>
      <c r="D647" s="6" t="s">
        <v>10</v>
      </c>
      <c r="E647" s="6" t="s">
        <v>11</v>
      </c>
      <c r="F647" s="6" t="s">
        <v>15</v>
      </c>
      <c r="G647" s="6">
        <v>164</v>
      </c>
      <c r="H647" s="6" t="s">
        <v>16</v>
      </c>
      <c r="I647" s="11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</row>
    <row r="648" spans="1:21" ht="15.75" thickBot="1" x14ac:dyDescent="0.3">
      <c r="A648" s="8" t="s">
        <v>660</v>
      </c>
      <c r="B648" s="5">
        <v>294</v>
      </c>
      <c r="C648" s="14" t="s">
        <v>1453</v>
      </c>
      <c r="D648" s="5" t="s">
        <v>10</v>
      </c>
      <c r="E648" s="5" t="s">
        <v>11</v>
      </c>
      <c r="F648" s="5" t="s">
        <v>12</v>
      </c>
      <c r="G648" s="5">
        <v>103</v>
      </c>
      <c r="H648" s="5" t="s">
        <v>13</v>
      </c>
      <c r="I648" s="10" t="s">
        <v>661</v>
      </c>
      <c r="J648" s="4"/>
      <c r="K648" s="12">
        <f t="shared" ref="K648:K679" si="965">(C649-C648)*1000</f>
        <v>124.80089999999988</v>
      </c>
      <c r="L648" s="4"/>
      <c r="M648" s="12">
        <f t="shared" ref="M648:M679" si="966">K648-$L$2</f>
        <v>11.186473499999877</v>
      </c>
      <c r="N648" s="12">
        <f t="shared" ref="N648" si="967">M648^2</f>
        <v>125.13718936619951</v>
      </c>
      <c r="O648" s="4"/>
      <c r="P648" s="4"/>
      <c r="Q648" s="4"/>
      <c r="R648" s="4"/>
      <c r="S648" s="4"/>
      <c r="T648" s="4"/>
      <c r="U648" s="4"/>
    </row>
    <row r="649" spans="1:21" ht="15.75" thickBot="1" x14ac:dyDescent="0.3">
      <c r="A649" s="9"/>
      <c r="B649" s="6">
        <v>329</v>
      </c>
      <c r="C649" s="13" t="s">
        <v>1454</v>
      </c>
      <c r="D649" s="6" t="s">
        <v>10</v>
      </c>
      <c r="E649" s="6" t="s">
        <v>11</v>
      </c>
      <c r="F649" s="6" t="s">
        <v>15</v>
      </c>
      <c r="G649" s="6">
        <v>164</v>
      </c>
      <c r="H649" s="6" t="s">
        <v>16</v>
      </c>
      <c r="I649" s="11"/>
      <c r="J649" s="4"/>
      <c r="K649" s="12"/>
      <c r="L649" s="4"/>
      <c r="M649" s="4"/>
      <c r="N649" s="4"/>
      <c r="O649" s="4"/>
      <c r="P649" s="4"/>
      <c r="Q649" s="4"/>
      <c r="R649" s="4"/>
      <c r="S649" s="4"/>
      <c r="T649" s="4"/>
      <c r="U649" s="4"/>
    </row>
    <row r="650" spans="1:21" ht="15.75" thickBot="1" x14ac:dyDescent="0.3">
      <c r="A650" s="8" t="s">
        <v>662</v>
      </c>
      <c r="B650" s="5">
        <v>304</v>
      </c>
      <c r="C650" s="14" t="s">
        <v>1455</v>
      </c>
      <c r="D650" s="5" t="s">
        <v>10</v>
      </c>
      <c r="E650" s="5" t="s">
        <v>11</v>
      </c>
      <c r="F650" s="5" t="s">
        <v>12</v>
      </c>
      <c r="G650" s="5">
        <v>103</v>
      </c>
      <c r="H650" s="5" t="s">
        <v>13</v>
      </c>
      <c r="I650" s="10" t="s">
        <v>663</v>
      </c>
      <c r="J650" s="4"/>
      <c r="K650" s="12">
        <f t="shared" ref="K650:K681" si="968">(C651-C650)*1000</f>
        <v>129.34230000000002</v>
      </c>
      <c r="L650" s="4"/>
      <c r="M650" s="12">
        <f t="shared" ref="M650:M681" si="969">K650-$L$2</f>
        <v>15.727873500000015</v>
      </c>
      <c r="N650" s="12">
        <f t="shared" ref="N650" si="970">M650^2</f>
        <v>247.36600483200274</v>
      </c>
      <c r="O650" s="4"/>
      <c r="P650" s="4"/>
      <c r="Q650" s="4"/>
      <c r="R650" s="4"/>
      <c r="S650" s="4"/>
      <c r="T650" s="4"/>
      <c r="U650" s="4"/>
    </row>
    <row r="651" spans="1:21" ht="15.75" thickBot="1" x14ac:dyDescent="0.3">
      <c r="A651" s="9"/>
      <c r="B651" s="6">
        <v>338</v>
      </c>
      <c r="C651" s="13" t="s">
        <v>1456</v>
      </c>
      <c r="D651" s="6" t="s">
        <v>10</v>
      </c>
      <c r="E651" s="6" t="s">
        <v>11</v>
      </c>
      <c r="F651" s="6" t="s">
        <v>15</v>
      </c>
      <c r="G651" s="6">
        <v>164</v>
      </c>
      <c r="H651" s="6" t="s">
        <v>16</v>
      </c>
      <c r="I651" s="11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</row>
    <row r="652" spans="1:21" ht="15.75" thickBot="1" x14ac:dyDescent="0.3">
      <c r="A652" s="8" t="s">
        <v>664</v>
      </c>
      <c r="B652" s="5">
        <v>383</v>
      </c>
      <c r="C652" s="14" t="s">
        <v>1457</v>
      </c>
      <c r="D652" s="5" t="s">
        <v>10</v>
      </c>
      <c r="E652" s="5" t="s">
        <v>11</v>
      </c>
      <c r="F652" s="5" t="s">
        <v>12</v>
      </c>
      <c r="G652" s="5">
        <v>103</v>
      </c>
      <c r="H652" s="5" t="s">
        <v>13</v>
      </c>
      <c r="I652" s="10" t="s">
        <v>665</v>
      </c>
      <c r="J652" s="4"/>
      <c r="K652" s="12">
        <f t="shared" ref="K652:K683" si="971">(C653-C652)*1000</f>
        <v>98.210899999999995</v>
      </c>
      <c r="L652" s="4"/>
      <c r="M652" s="12">
        <f t="shared" ref="M652:M683" si="972">K652-$L$2</f>
        <v>-15.403526500000012</v>
      </c>
      <c r="N652" s="12">
        <f t="shared" ref="N652" si="973">M652^2</f>
        <v>237.26862863620264</v>
      </c>
      <c r="O652" s="4"/>
      <c r="P652" s="4"/>
      <c r="Q652" s="4"/>
      <c r="R652" s="4"/>
      <c r="S652" s="4"/>
      <c r="T652" s="4"/>
      <c r="U652" s="4"/>
    </row>
    <row r="653" spans="1:21" ht="15.75" thickBot="1" x14ac:dyDescent="0.3">
      <c r="A653" s="9"/>
      <c r="B653" s="6">
        <v>409</v>
      </c>
      <c r="C653" s="13" t="s">
        <v>1458</v>
      </c>
      <c r="D653" s="6" t="s">
        <v>10</v>
      </c>
      <c r="E653" s="6" t="s">
        <v>11</v>
      </c>
      <c r="F653" s="6" t="s">
        <v>15</v>
      </c>
      <c r="G653" s="6">
        <v>164</v>
      </c>
      <c r="H653" s="6" t="s">
        <v>16</v>
      </c>
      <c r="I653" s="11"/>
      <c r="J653" s="4"/>
      <c r="K653" s="12"/>
      <c r="L653" s="4"/>
      <c r="M653" s="4"/>
      <c r="N653" s="4"/>
      <c r="O653" s="4"/>
      <c r="P653" s="4"/>
      <c r="Q653" s="4"/>
      <c r="R653" s="4"/>
      <c r="S653" s="4"/>
      <c r="T653" s="4"/>
      <c r="U653" s="4"/>
    </row>
    <row r="654" spans="1:21" ht="15.75" thickBot="1" x14ac:dyDescent="0.3">
      <c r="A654" s="8" t="s">
        <v>666</v>
      </c>
      <c r="B654" s="5">
        <v>368</v>
      </c>
      <c r="C654" s="14" t="s">
        <v>1459</v>
      </c>
      <c r="D654" s="5" t="s">
        <v>10</v>
      </c>
      <c r="E654" s="5" t="s">
        <v>11</v>
      </c>
      <c r="F654" s="5" t="s">
        <v>12</v>
      </c>
      <c r="G654" s="5">
        <v>103</v>
      </c>
      <c r="H654" s="5" t="s">
        <v>13</v>
      </c>
      <c r="I654" s="10" t="s">
        <v>667</v>
      </c>
      <c r="J654" s="4"/>
      <c r="K654" s="12">
        <f t="shared" ref="K654:K685" si="974">(C655-C654)*1000</f>
        <v>41.623599999999868</v>
      </c>
      <c r="L654" s="4"/>
      <c r="M654" s="12">
        <f t="shared" ref="M654:M685" si="975">K654-$L$2</f>
        <v>-71.990826500000139</v>
      </c>
      <c r="N654" s="12">
        <f t="shared" ref="N654" si="976">M654^2</f>
        <v>5182.6791001531219</v>
      </c>
      <c r="O654" s="4"/>
      <c r="P654" s="4"/>
      <c r="Q654" s="4"/>
      <c r="R654" s="4"/>
      <c r="S654" s="4"/>
      <c r="T654" s="4"/>
      <c r="U654" s="4"/>
    </row>
    <row r="655" spans="1:21" ht="15.75" thickBot="1" x14ac:dyDescent="0.3">
      <c r="A655" s="9"/>
      <c r="B655" s="6">
        <v>376</v>
      </c>
      <c r="C655" s="13" t="s">
        <v>1460</v>
      </c>
      <c r="D655" s="6" t="s">
        <v>10</v>
      </c>
      <c r="E655" s="6" t="s">
        <v>11</v>
      </c>
      <c r="F655" s="6" t="s">
        <v>15</v>
      </c>
      <c r="G655" s="6">
        <v>164</v>
      </c>
      <c r="H655" s="6" t="s">
        <v>16</v>
      </c>
      <c r="I655" s="11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</row>
    <row r="656" spans="1:21" ht="15.75" thickBot="1" x14ac:dyDescent="0.3">
      <c r="A656" s="8" t="s">
        <v>668</v>
      </c>
      <c r="B656" s="5">
        <v>322</v>
      </c>
      <c r="C656" s="14" t="s">
        <v>1461</v>
      </c>
      <c r="D656" s="5" t="s">
        <v>10</v>
      </c>
      <c r="E656" s="5" t="s">
        <v>11</v>
      </c>
      <c r="F656" s="5" t="s">
        <v>12</v>
      </c>
      <c r="G656" s="5">
        <v>103</v>
      </c>
      <c r="H656" s="5" t="s">
        <v>13</v>
      </c>
      <c r="I656" s="10" t="s">
        <v>669</v>
      </c>
      <c r="J656" s="4"/>
      <c r="K656" s="12">
        <f t="shared" ref="K656:K687" si="977">(C657-C656)*1000</f>
        <v>56.763900000000199</v>
      </c>
      <c r="L656" s="4"/>
      <c r="M656" s="12">
        <f t="shared" ref="M656:M687" si="978">K656-$L$2</f>
        <v>-56.850526499999809</v>
      </c>
      <c r="N656" s="12">
        <f t="shared" ref="N656" si="979">M656^2</f>
        <v>3231.9823633271803</v>
      </c>
      <c r="O656" s="4"/>
      <c r="P656" s="4"/>
      <c r="Q656" s="4"/>
      <c r="R656" s="4"/>
      <c r="S656" s="4"/>
      <c r="T656" s="4"/>
      <c r="U656" s="4"/>
    </row>
    <row r="657" spans="1:21" ht="15.75" thickBot="1" x14ac:dyDescent="0.3">
      <c r="A657" s="9"/>
      <c r="B657" s="6">
        <v>336</v>
      </c>
      <c r="C657" s="13" t="s">
        <v>1462</v>
      </c>
      <c r="D657" s="6" t="s">
        <v>10</v>
      </c>
      <c r="E657" s="6" t="s">
        <v>11</v>
      </c>
      <c r="F657" s="6" t="s">
        <v>15</v>
      </c>
      <c r="G657" s="6">
        <v>164</v>
      </c>
      <c r="H657" s="6" t="s">
        <v>16</v>
      </c>
      <c r="I657" s="11"/>
      <c r="J657" s="4"/>
      <c r="K657" s="12"/>
      <c r="L657" s="4"/>
      <c r="M657" s="4"/>
      <c r="N657" s="4"/>
      <c r="O657" s="4"/>
      <c r="P657" s="4"/>
      <c r="Q657" s="4"/>
      <c r="R657" s="4"/>
      <c r="S657" s="4"/>
      <c r="T657" s="4"/>
      <c r="U657" s="4"/>
    </row>
    <row r="658" spans="1:21" ht="15.75" thickBot="1" x14ac:dyDescent="0.3">
      <c r="A658" s="8" t="s">
        <v>670</v>
      </c>
      <c r="B658" s="5">
        <v>295</v>
      </c>
      <c r="C658" s="14" t="s">
        <v>1463</v>
      </c>
      <c r="D658" s="5" t="s">
        <v>10</v>
      </c>
      <c r="E658" s="5" t="s">
        <v>11</v>
      </c>
      <c r="F658" s="5" t="s">
        <v>12</v>
      </c>
      <c r="G658" s="5">
        <v>103</v>
      </c>
      <c r="H658" s="5" t="s">
        <v>13</v>
      </c>
      <c r="I658" s="10" t="s">
        <v>671</v>
      </c>
      <c r="J658" s="4"/>
      <c r="K658" s="12">
        <f t="shared" ref="K658:K689" si="980">(C659-C658)*1000</f>
        <v>157.86390000000017</v>
      </c>
      <c r="L658" s="4"/>
      <c r="M658" s="12">
        <f t="shared" ref="M658:M689" si="981">K658-$L$2</f>
        <v>44.249473500000164</v>
      </c>
      <c r="N658" s="12">
        <f t="shared" ref="N658" si="982">M658^2</f>
        <v>1958.0159050272168</v>
      </c>
      <c r="O658" s="4"/>
      <c r="P658" s="4"/>
      <c r="Q658" s="4"/>
      <c r="R658" s="4"/>
      <c r="S658" s="4"/>
      <c r="T658" s="4"/>
      <c r="U658" s="4"/>
    </row>
    <row r="659" spans="1:21" ht="15.75" thickBot="1" x14ac:dyDescent="0.3">
      <c r="A659" s="9"/>
      <c r="B659" s="6">
        <v>332</v>
      </c>
      <c r="C659" s="13" t="s">
        <v>1464</v>
      </c>
      <c r="D659" s="6" t="s">
        <v>10</v>
      </c>
      <c r="E659" s="6" t="s">
        <v>11</v>
      </c>
      <c r="F659" s="6" t="s">
        <v>15</v>
      </c>
      <c r="G659" s="6">
        <v>164</v>
      </c>
      <c r="H659" s="6" t="s">
        <v>16</v>
      </c>
      <c r="I659" s="11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</row>
    <row r="660" spans="1:21" ht="15.75" thickBot="1" x14ac:dyDescent="0.3">
      <c r="A660" s="8" t="s">
        <v>672</v>
      </c>
      <c r="B660" s="5">
        <v>331</v>
      </c>
      <c r="C660" s="14" t="s">
        <v>1465</v>
      </c>
      <c r="D660" s="5" t="s">
        <v>10</v>
      </c>
      <c r="E660" s="5" t="s">
        <v>11</v>
      </c>
      <c r="F660" s="5" t="s">
        <v>12</v>
      </c>
      <c r="G660" s="5">
        <v>103</v>
      </c>
      <c r="H660" s="5" t="s">
        <v>13</v>
      </c>
      <c r="I660" s="10" t="s">
        <v>673</v>
      </c>
      <c r="J660" s="4"/>
      <c r="K660" s="12">
        <f t="shared" ref="K660:K691" si="983">(C661-C660)*1000</f>
        <v>170.72399999999988</v>
      </c>
      <c r="L660" s="4"/>
      <c r="M660" s="12">
        <f t="shared" ref="M660:M691" si="984">K660-$L$2</f>
        <v>57.109573499999868</v>
      </c>
      <c r="N660" s="12">
        <f t="shared" ref="N660" si="985">M660^2</f>
        <v>3261.5033853518871</v>
      </c>
      <c r="O660" s="4"/>
      <c r="P660" s="4"/>
      <c r="Q660" s="4"/>
      <c r="R660" s="4"/>
      <c r="S660" s="4"/>
      <c r="T660" s="4"/>
      <c r="U660" s="4"/>
    </row>
    <row r="661" spans="1:21" ht="15.75" thickBot="1" x14ac:dyDescent="0.3">
      <c r="A661" s="9"/>
      <c r="B661" s="6">
        <v>367</v>
      </c>
      <c r="C661" s="13" t="s">
        <v>1466</v>
      </c>
      <c r="D661" s="6" t="s">
        <v>10</v>
      </c>
      <c r="E661" s="6" t="s">
        <v>11</v>
      </c>
      <c r="F661" s="6" t="s">
        <v>15</v>
      </c>
      <c r="G661" s="6">
        <v>164</v>
      </c>
      <c r="H661" s="6" t="s">
        <v>16</v>
      </c>
      <c r="I661" s="11"/>
      <c r="J661" s="4"/>
      <c r="K661" s="12"/>
      <c r="L661" s="4"/>
      <c r="M661" s="4"/>
      <c r="N661" s="4"/>
      <c r="O661" s="4"/>
      <c r="P661" s="4"/>
      <c r="Q661" s="4"/>
      <c r="R661" s="4"/>
      <c r="S661" s="4"/>
      <c r="T661" s="4"/>
      <c r="U661" s="4"/>
    </row>
    <row r="662" spans="1:21" ht="15.75" thickBot="1" x14ac:dyDescent="0.3">
      <c r="A662" s="8" t="s">
        <v>674</v>
      </c>
      <c r="B662" s="5">
        <v>214</v>
      </c>
      <c r="C662" s="14" t="s">
        <v>1467</v>
      </c>
      <c r="D662" s="5" t="s">
        <v>10</v>
      </c>
      <c r="E662" s="5" t="s">
        <v>11</v>
      </c>
      <c r="F662" s="5" t="s">
        <v>12</v>
      </c>
      <c r="G662" s="5">
        <v>103</v>
      </c>
      <c r="H662" s="5" t="s">
        <v>13</v>
      </c>
      <c r="I662" s="10" t="s">
        <v>675</v>
      </c>
      <c r="J662" s="4"/>
      <c r="K662" s="12">
        <f t="shared" ref="K662:K693" si="986">(C663-C662)*1000</f>
        <v>170.36589999999995</v>
      </c>
      <c r="L662" s="4"/>
      <c r="M662" s="12">
        <f t="shared" ref="M662:M693" si="987">K662-$L$2</f>
        <v>56.751473499999946</v>
      </c>
      <c r="N662" s="12">
        <f t="shared" ref="N662" si="988">M662^2</f>
        <v>3220.7297444211963</v>
      </c>
      <c r="O662" s="4"/>
      <c r="P662" s="4"/>
      <c r="Q662" s="4"/>
      <c r="R662" s="4"/>
      <c r="S662" s="4"/>
      <c r="T662" s="4"/>
      <c r="U662" s="4"/>
    </row>
    <row r="663" spans="1:21" ht="15.75" thickBot="1" x14ac:dyDescent="0.3">
      <c r="A663" s="9"/>
      <c r="B663" s="6">
        <v>259</v>
      </c>
      <c r="C663" s="13" t="s">
        <v>1468</v>
      </c>
      <c r="D663" s="6" t="s">
        <v>10</v>
      </c>
      <c r="E663" s="6" t="s">
        <v>11</v>
      </c>
      <c r="F663" s="6" t="s">
        <v>15</v>
      </c>
      <c r="G663" s="6">
        <v>164</v>
      </c>
      <c r="H663" s="6" t="s">
        <v>16</v>
      </c>
      <c r="I663" s="11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</row>
    <row r="664" spans="1:21" ht="15.75" thickBot="1" x14ac:dyDescent="0.3">
      <c r="A664" s="8" t="s">
        <v>676</v>
      </c>
      <c r="B664" s="5">
        <v>227</v>
      </c>
      <c r="C664" s="14" t="s">
        <v>1469</v>
      </c>
      <c r="D664" s="5" t="s">
        <v>10</v>
      </c>
      <c r="E664" s="5" t="s">
        <v>11</v>
      </c>
      <c r="F664" s="5" t="s">
        <v>12</v>
      </c>
      <c r="G664" s="5">
        <v>103</v>
      </c>
      <c r="H664" s="5" t="s">
        <v>13</v>
      </c>
      <c r="I664" s="10" t="s">
        <v>677</v>
      </c>
      <c r="J664" s="4"/>
      <c r="K664" s="12">
        <f t="shared" ref="K664:K695" si="989">(C665-C664)*1000</f>
        <v>118.20949999999985</v>
      </c>
      <c r="L664" s="4"/>
      <c r="M664" s="12">
        <f t="shared" ref="M664:M695" si="990">K664-$L$2</f>
        <v>4.5950734999998417</v>
      </c>
      <c r="N664" s="12">
        <f t="shared" ref="N664" si="991">M664^2</f>
        <v>21.114700470400795</v>
      </c>
      <c r="O664" s="4"/>
      <c r="P664" s="4"/>
      <c r="Q664" s="4"/>
      <c r="R664" s="4"/>
      <c r="S664" s="4"/>
      <c r="T664" s="4"/>
      <c r="U664" s="4"/>
    </row>
    <row r="665" spans="1:21" ht="15.75" thickBot="1" x14ac:dyDescent="0.3">
      <c r="A665" s="9"/>
      <c r="B665" s="6">
        <v>255</v>
      </c>
      <c r="C665" s="13" t="s">
        <v>1470</v>
      </c>
      <c r="D665" s="6" t="s">
        <v>10</v>
      </c>
      <c r="E665" s="6" t="s">
        <v>11</v>
      </c>
      <c r="F665" s="6" t="s">
        <v>15</v>
      </c>
      <c r="G665" s="6">
        <v>164</v>
      </c>
      <c r="H665" s="6" t="s">
        <v>16</v>
      </c>
      <c r="I665" s="11"/>
      <c r="J665" s="4"/>
      <c r="K665" s="12"/>
      <c r="L665" s="4"/>
      <c r="M665" s="4"/>
      <c r="N665" s="4"/>
      <c r="O665" s="4"/>
      <c r="P665" s="4"/>
      <c r="Q665" s="4"/>
      <c r="R665" s="4"/>
      <c r="S665" s="4"/>
      <c r="T665" s="4"/>
      <c r="U665" s="4"/>
    </row>
    <row r="666" spans="1:21" ht="15.75" thickBot="1" x14ac:dyDescent="0.3">
      <c r="A666" s="8" t="s">
        <v>678</v>
      </c>
      <c r="B666" s="5">
        <v>278</v>
      </c>
      <c r="C666" s="14" t="s">
        <v>1471</v>
      </c>
      <c r="D666" s="5" t="s">
        <v>10</v>
      </c>
      <c r="E666" s="5" t="s">
        <v>11</v>
      </c>
      <c r="F666" s="5" t="s">
        <v>12</v>
      </c>
      <c r="G666" s="5">
        <v>103</v>
      </c>
      <c r="H666" s="5" t="s">
        <v>13</v>
      </c>
      <c r="I666" s="10" t="s">
        <v>679</v>
      </c>
      <c r="J666" s="4"/>
      <c r="K666" s="12">
        <f t="shared" ref="K666:K697" si="992">(C667-C666)*1000</f>
        <v>158.85149999999993</v>
      </c>
      <c r="L666" s="4"/>
      <c r="M666" s="12">
        <f t="shared" ref="M666:M697" si="993">K666-$L$2</f>
        <v>45.237073499999923</v>
      </c>
      <c r="N666" s="12">
        <f t="shared" ref="N666" si="994">M666^2</f>
        <v>2046.3928188443954</v>
      </c>
      <c r="O666" s="4"/>
      <c r="P666" s="4"/>
      <c r="Q666" s="4"/>
      <c r="R666" s="4"/>
      <c r="S666" s="4"/>
      <c r="T666" s="4"/>
      <c r="U666" s="4"/>
    </row>
    <row r="667" spans="1:21" ht="15.75" thickBot="1" x14ac:dyDescent="0.3">
      <c r="A667" s="9"/>
      <c r="B667" s="6">
        <v>320</v>
      </c>
      <c r="C667" s="13" t="s">
        <v>1472</v>
      </c>
      <c r="D667" s="6" t="s">
        <v>10</v>
      </c>
      <c r="E667" s="6" t="s">
        <v>11</v>
      </c>
      <c r="F667" s="6" t="s">
        <v>15</v>
      </c>
      <c r="G667" s="6">
        <v>164</v>
      </c>
      <c r="H667" s="6" t="s">
        <v>16</v>
      </c>
      <c r="I667" s="11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</row>
    <row r="668" spans="1:21" ht="15.75" thickBot="1" x14ac:dyDescent="0.3">
      <c r="A668" s="8" t="s">
        <v>680</v>
      </c>
      <c r="B668" s="5">
        <v>285</v>
      </c>
      <c r="C668" s="14" t="s">
        <v>1473</v>
      </c>
      <c r="D668" s="5" t="s">
        <v>10</v>
      </c>
      <c r="E668" s="5" t="s">
        <v>11</v>
      </c>
      <c r="F668" s="5" t="s">
        <v>12</v>
      </c>
      <c r="G668" s="5">
        <v>103</v>
      </c>
      <c r="H668" s="5" t="s">
        <v>13</v>
      </c>
      <c r="I668" s="10" t="s">
        <v>681</v>
      </c>
      <c r="J668" s="4"/>
      <c r="K668" s="12">
        <f t="shared" ref="K668:K699" si="995">(C669-C668)*1000</f>
        <v>149.71</v>
      </c>
      <c r="L668" s="4"/>
      <c r="M668" s="12">
        <f t="shared" ref="M668:M699" si="996">K668-$L$2</f>
        <v>36.0955735</v>
      </c>
      <c r="N668" s="12">
        <f t="shared" ref="N668" si="997">M668^2</f>
        <v>1302.8904262939022</v>
      </c>
      <c r="O668" s="4"/>
      <c r="P668" s="4"/>
      <c r="Q668" s="4"/>
      <c r="R668" s="4"/>
      <c r="S668" s="4"/>
      <c r="T668" s="4"/>
      <c r="U668" s="4"/>
    </row>
    <row r="669" spans="1:21" ht="15.75" thickBot="1" x14ac:dyDescent="0.3">
      <c r="A669" s="9"/>
      <c r="B669" s="6">
        <v>321</v>
      </c>
      <c r="C669" s="13" t="s">
        <v>1474</v>
      </c>
      <c r="D669" s="6" t="s">
        <v>10</v>
      </c>
      <c r="E669" s="6" t="s">
        <v>11</v>
      </c>
      <c r="F669" s="6" t="s">
        <v>15</v>
      </c>
      <c r="G669" s="6">
        <v>164</v>
      </c>
      <c r="H669" s="6" t="s">
        <v>16</v>
      </c>
      <c r="I669" s="11"/>
      <c r="J669" s="4"/>
      <c r="K669" s="12"/>
      <c r="L669" s="4"/>
      <c r="M669" s="4"/>
      <c r="N669" s="4"/>
      <c r="O669" s="4"/>
      <c r="P669" s="4"/>
      <c r="Q669" s="4"/>
      <c r="R669" s="4"/>
      <c r="S669" s="4"/>
      <c r="T669" s="4"/>
      <c r="U669" s="4"/>
    </row>
    <row r="670" spans="1:21" ht="15.75" thickBot="1" x14ac:dyDescent="0.3">
      <c r="A670" s="8" t="s">
        <v>682</v>
      </c>
      <c r="B670" s="5">
        <v>242</v>
      </c>
      <c r="C670" s="14" t="s">
        <v>1475</v>
      </c>
      <c r="D670" s="5" t="s">
        <v>10</v>
      </c>
      <c r="E670" s="5" t="s">
        <v>11</v>
      </c>
      <c r="F670" s="5" t="s">
        <v>12</v>
      </c>
      <c r="G670" s="5">
        <v>103</v>
      </c>
      <c r="H670" s="5" t="s">
        <v>13</v>
      </c>
      <c r="I670" s="10" t="s">
        <v>683</v>
      </c>
      <c r="J670" s="4"/>
      <c r="K670" s="12">
        <f t="shared" ref="K670:K701" si="998">(C671-C670)*1000</f>
        <v>45.881700000000023</v>
      </c>
      <c r="L670" s="4"/>
      <c r="M670" s="12">
        <f t="shared" ref="M670:M701" si="999">K670-$L$2</f>
        <v>-67.732726499999984</v>
      </c>
      <c r="N670" s="12">
        <f t="shared" ref="N670" si="1000">M670^2</f>
        <v>4587.7222391238001</v>
      </c>
      <c r="O670" s="4"/>
      <c r="P670" s="4"/>
      <c r="Q670" s="4"/>
      <c r="R670" s="4"/>
      <c r="S670" s="4"/>
      <c r="T670" s="4"/>
      <c r="U670" s="4"/>
    </row>
    <row r="671" spans="1:21" ht="15.75" thickBot="1" x14ac:dyDescent="0.3">
      <c r="A671" s="9"/>
      <c r="B671" s="6">
        <v>255</v>
      </c>
      <c r="C671" s="13" t="s">
        <v>1476</v>
      </c>
      <c r="D671" s="6" t="s">
        <v>10</v>
      </c>
      <c r="E671" s="6" t="s">
        <v>11</v>
      </c>
      <c r="F671" s="6" t="s">
        <v>15</v>
      </c>
      <c r="G671" s="6">
        <v>164</v>
      </c>
      <c r="H671" s="6" t="s">
        <v>16</v>
      </c>
      <c r="I671" s="11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</row>
    <row r="672" spans="1:21" ht="15.75" thickBot="1" x14ac:dyDescent="0.3">
      <c r="A672" s="8" t="s">
        <v>684</v>
      </c>
      <c r="B672" s="5">
        <v>214</v>
      </c>
      <c r="C672" s="14" t="s">
        <v>1477</v>
      </c>
      <c r="D672" s="5" t="s">
        <v>10</v>
      </c>
      <c r="E672" s="5" t="s">
        <v>11</v>
      </c>
      <c r="F672" s="5" t="s">
        <v>12</v>
      </c>
      <c r="G672" s="5">
        <v>103</v>
      </c>
      <c r="H672" s="5" t="s">
        <v>13</v>
      </c>
      <c r="I672" s="10" t="s">
        <v>685</v>
      </c>
      <c r="J672" s="4"/>
      <c r="K672" s="12">
        <f t="shared" ref="K672:K703" si="1001">(C673-C672)*1000</f>
        <v>129.70569999999992</v>
      </c>
      <c r="L672" s="4"/>
      <c r="M672" s="12">
        <f t="shared" ref="M672:M703" si="1002">K672-$L$2</f>
        <v>16.091273499999915</v>
      </c>
      <c r="N672" s="12">
        <f t="shared" ref="N672" si="1003">M672^2</f>
        <v>258.92908285179948</v>
      </c>
      <c r="O672" s="4"/>
      <c r="P672" s="4"/>
      <c r="Q672" s="4"/>
      <c r="R672" s="4"/>
      <c r="S672" s="4"/>
      <c r="T672" s="4"/>
      <c r="U672" s="4"/>
    </row>
    <row r="673" spans="1:21" ht="15.75" thickBot="1" x14ac:dyDescent="0.3">
      <c r="A673" s="9"/>
      <c r="B673" s="6">
        <v>245</v>
      </c>
      <c r="C673" s="13" t="s">
        <v>1478</v>
      </c>
      <c r="D673" s="6" t="s">
        <v>10</v>
      </c>
      <c r="E673" s="6" t="s">
        <v>11</v>
      </c>
      <c r="F673" s="6" t="s">
        <v>15</v>
      </c>
      <c r="G673" s="6">
        <v>164</v>
      </c>
      <c r="H673" s="6" t="s">
        <v>16</v>
      </c>
      <c r="I673" s="11"/>
      <c r="J673" s="4"/>
      <c r="K673" s="12"/>
      <c r="L673" s="4"/>
      <c r="M673" s="4"/>
      <c r="N673" s="4"/>
      <c r="O673" s="4"/>
      <c r="P673" s="4"/>
      <c r="Q673" s="4"/>
      <c r="R673" s="4"/>
      <c r="S673" s="4"/>
      <c r="T673" s="4"/>
      <c r="U673" s="4"/>
    </row>
    <row r="674" spans="1:21" ht="15.75" thickBot="1" x14ac:dyDescent="0.3">
      <c r="A674" s="8" t="s">
        <v>686</v>
      </c>
      <c r="B674" s="5">
        <v>239</v>
      </c>
      <c r="C674" s="14" t="s">
        <v>1479</v>
      </c>
      <c r="D674" s="5" t="s">
        <v>10</v>
      </c>
      <c r="E674" s="5" t="s">
        <v>11</v>
      </c>
      <c r="F674" s="5" t="s">
        <v>12</v>
      </c>
      <c r="G674" s="5">
        <v>103</v>
      </c>
      <c r="H674" s="5" t="s">
        <v>13</v>
      </c>
      <c r="I674" s="10" t="s">
        <v>687</v>
      </c>
      <c r="J674" s="4"/>
      <c r="K674" s="12">
        <f t="shared" ref="K674:K705" si="1004">(C675-C674)*1000</f>
        <v>73.302299999999931</v>
      </c>
      <c r="L674" s="4"/>
      <c r="M674" s="12">
        <f t="shared" ref="M674:M705" si="1005">K674-$L$2</f>
        <v>-40.312126500000076</v>
      </c>
      <c r="N674" s="12">
        <f t="shared" ref="N674" si="1006">M674^2</f>
        <v>1625.0675429520084</v>
      </c>
      <c r="O674" s="4"/>
      <c r="P674" s="4"/>
      <c r="Q674" s="4"/>
      <c r="R674" s="4"/>
      <c r="S674" s="4"/>
      <c r="T674" s="4"/>
      <c r="U674" s="4"/>
    </row>
    <row r="675" spans="1:21" ht="15.75" thickBot="1" x14ac:dyDescent="0.3">
      <c r="A675" s="9"/>
      <c r="B675" s="6">
        <v>258</v>
      </c>
      <c r="C675" s="13" t="s">
        <v>1480</v>
      </c>
      <c r="D675" s="6" t="s">
        <v>10</v>
      </c>
      <c r="E675" s="6" t="s">
        <v>11</v>
      </c>
      <c r="F675" s="6" t="s">
        <v>15</v>
      </c>
      <c r="G675" s="6">
        <v>164</v>
      </c>
      <c r="H675" s="6" t="s">
        <v>16</v>
      </c>
      <c r="I675" s="11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</row>
    <row r="676" spans="1:21" ht="15.75" thickBot="1" x14ac:dyDescent="0.3">
      <c r="A676" s="8" t="s">
        <v>688</v>
      </c>
      <c r="B676" s="5">
        <v>334</v>
      </c>
      <c r="C676" s="14" t="s">
        <v>1481</v>
      </c>
      <c r="D676" s="5" t="s">
        <v>10</v>
      </c>
      <c r="E676" s="5" t="s">
        <v>11</v>
      </c>
      <c r="F676" s="5" t="s">
        <v>12</v>
      </c>
      <c r="G676" s="5">
        <v>103</v>
      </c>
      <c r="H676" s="5" t="s">
        <v>13</v>
      </c>
      <c r="I676" s="10" t="s">
        <v>689</v>
      </c>
      <c r="J676" s="4"/>
      <c r="K676" s="12">
        <f t="shared" ref="K676:K707" si="1007">(C677-C676)*1000</f>
        <v>88.978299999999962</v>
      </c>
      <c r="L676" s="4"/>
      <c r="M676" s="12">
        <f t="shared" ref="M676:M707" si="1008">K676-$L$2</f>
        <v>-24.636126500000046</v>
      </c>
      <c r="N676" s="12">
        <f t="shared" ref="N676" si="1009">M676^2</f>
        <v>606.93872892400452</v>
      </c>
      <c r="O676" s="4"/>
      <c r="P676" s="4"/>
      <c r="Q676" s="4"/>
      <c r="R676" s="4"/>
      <c r="S676" s="4"/>
      <c r="T676" s="4"/>
      <c r="U676" s="4"/>
    </row>
    <row r="677" spans="1:21" ht="15.75" thickBot="1" x14ac:dyDescent="0.3">
      <c r="A677" s="9"/>
      <c r="B677" s="6">
        <v>356</v>
      </c>
      <c r="C677" s="13" t="s">
        <v>1482</v>
      </c>
      <c r="D677" s="6" t="s">
        <v>10</v>
      </c>
      <c r="E677" s="6" t="s">
        <v>11</v>
      </c>
      <c r="F677" s="6" t="s">
        <v>15</v>
      </c>
      <c r="G677" s="6">
        <v>164</v>
      </c>
      <c r="H677" s="6" t="s">
        <v>16</v>
      </c>
      <c r="I677" s="11"/>
      <c r="J677" s="4"/>
      <c r="K677" s="12"/>
      <c r="L677" s="4"/>
      <c r="M677" s="4"/>
      <c r="N677" s="4"/>
      <c r="O677" s="4"/>
      <c r="P677" s="4"/>
      <c r="Q677" s="4"/>
      <c r="R677" s="4"/>
      <c r="S677" s="4"/>
      <c r="T677" s="4"/>
      <c r="U677" s="4"/>
    </row>
    <row r="678" spans="1:21" ht="15.75" thickBot="1" x14ac:dyDescent="0.3">
      <c r="A678" s="8" t="s">
        <v>690</v>
      </c>
      <c r="B678" s="5">
        <v>242</v>
      </c>
      <c r="C678" s="14" t="s">
        <v>1483</v>
      </c>
      <c r="D678" s="5" t="s">
        <v>10</v>
      </c>
      <c r="E678" s="5" t="s">
        <v>11</v>
      </c>
      <c r="F678" s="5" t="s">
        <v>12</v>
      </c>
      <c r="G678" s="5">
        <v>103</v>
      </c>
      <c r="H678" s="5" t="s">
        <v>13</v>
      </c>
      <c r="I678" s="10" t="s">
        <v>691</v>
      </c>
      <c r="J678" s="4"/>
      <c r="K678" s="12">
        <f t="shared" ref="K678:K709" si="1010">(C679-C678)*1000</f>
        <v>165.28609999999989</v>
      </c>
      <c r="L678" s="4"/>
      <c r="M678" s="12">
        <f t="shared" ref="M678:M709" si="1011">K678-$L$2</f>
        <v>51.671673499999883</v>
      </c>
      <c r="N678" s="12">
        <f t="shared" ref="N678" si="1012">M678^2</f>
        <v>2669.9618422905901</v>
      </c>
      <c r="O678" s="4"/>
      <c r="P678" s="4"/>
      <c r="Q678" s="4"/>
      <c r="R678" s="4"/>
      <c r="S678" s="4"/>
      <c r="T678" s="4"/>
      <c r="U678" s="4"/>
    </row>
    <row r="679" spans="1:21" ht="15.75" thickBot="1" x14ac:dyDescent="0.3">
      <c r="A679" s="9"/>
      <c r="B679" s="6">
        <v>284</v>
      </c>
      <c r="C679" s="13" t="s">
        <v>1484</v>
      </c>
      <c r="D679" s="6" t="s">
        <v>10</v>
      </c>
      <c r="E679" s="6" t="s">
        <v>11</v>
      </c>
      <c r="F679" s="6" t="s">
        <v>15</v>
      </c>
      <c r="G679" s="6">
        <v>164</v>
      </c>
      <c r="H679" s="6" t="s">
        <v>16</v>
      </c>
      <c r="I679" s="11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</row>
    <row r="680" spans="1:21" ht="15.75" thickBot="1" x14ac:dyDescent="0.3">
      <c r="A680" s="8" t="s">
        <v>692</v>
      </c>
      <c r="B680" s="5">
        <v>229</v>
      </c>
      <c r="C680" s="14" t="s">
        <v>1485</v>
      </c>
      <c r="D680" s="5" t="s">
        <v>10</v>
      </c>
      <c r="E680" s="5" t="s">
        <v>11</v>
      </c>
      <c r="F680" s="5" t="s">
        <v>12</v>
      </c>
      <c r="G680" s="5">
        <v>103</v>
      </c>
      <c r="H680" s="5" t="s">
        <v>13</v>
      </c>
      <c r="I680" s="10" t="s">
        <v>693</v>
      </c>
      <c r="J680" s="4"/>
      <c r="K680" s="12">
        <f t="shared" ref="K680:K711" si="1013">(C681-C680)*1000</f>
        <v>118.81359999999997</v>
      </c>
      <c r="L680" s="4"/>
      <c r="M680" s="12">
        <f t="shared" ref="M680:M711" si="1014">K680-$L$2</f>
        <v>5.1991734999999579</v>
      </c>
      <c r="N680" s="12">
        <f t="shared" ref="N680" si="1015">M680^2</f>
        <v>27.031405083101813</v>
      </c>
      <c r="O680" s="4"/>
      <c r="P680" s="4"/>
      <c r="Q680" s="4"/>
      <c r="R680" s="4"/>
      <c r="S680" s="4"/>
      <c r="T680" s="4"/>
      <c r="U680" s="4"/>
    </row>
    <row r="681" spans="1:21" ht="15.75" thickBot="1" x14ac:dyDescent="0.3">
      <c r="A681" s="9"/>
      <c r="B681" s="6">
        <v>256</v>
      </c>
      <c r="C681" s="13" t="s">
        <v>1486</v>
      </c>
      <c r="D681" s="6" t="s">
        <v>10</v>
      </c>
      <c r="E681" s="6" t="s">
        <v>11</v>
      </c>
      <c r="F681" s="6" t="s">
        <v>15</v>
      </c>
      <c r="G681" s="6">
        <v>164</v>
      </c>
      <c r="H681" s="6" t="s">
        <v>16</v>
      </c>
      <c r="I681" s="11"/>
      <c r="J681" s="4"/>
      <c r="K681" s="12"/>
      <c r="L681" s="4"/>
      <c r="M681" s="4"/>
      <c r="N681" s="4"/>
      <c r="O681" s="4"/>
      <c r="P681" s="4"/>
      <c r="Q681" s="4"/>
      <c r="R681" s="4"/>
      <c r="S681" s="4"/>
      <c r="T681" s="4"/>
      <c r="U681" s="4"/>
    </row>
    <row r="682" spans="1:21" ht="15.75" thickBot="1" x14ac:dyDescent="0.3">
      <c r="A682" s="8" t="s">
        <v>694</v>
      </c>
      <c r="B682" s="5">
        <v>256</v>
      </c>
      <c r="C682" s="14" t="s">
        <v>1487</v>
      </c>
      <c r="D682" s="5" t="s">
        <v>10</v>
      </c>
      <c r="E682" s="5" t="s">
        <v>11</v>
      </c>
      <c r="F682" s="5" t="s">
        <v>12</v>
      </c>
      <c r="G682" s="5">
        <v>103</v>
      </c>
      <c r="H682" s="5" t="s">
        <v>13</v>
      </c>
      <c r="I682" s="10" t="s">
        <v>695</v>
      </c>
      <c r="J682" s="4"/>
      <c r="K682" s="12">
        <f t="shared" ref="K682:K713" si="1016">(C683-C682)*1000</f>
        <v>42.497900000000087</v>
      </c>
      <c r="L682" s="4"/>
      <c r="M682" s="12">
        <f t="shared" ref="M682:M713" si="1017">K682-$L$2</f>
        <v>-71.116526499999921</v>
      </c>
      <c r="N682" s="12">
        <f t="shared" ref="N682" si="1018">M682^2</f>
        <v>5057.5603414251909</v>
      </c>
      <c r="O682" s="4"/>
      <c r="P682" s="4"/>
      <c r="Q682" s="4"/>
      <c r="R682" s="4"/>
      <c r="S682" s="4"/>
      <c r="T682" s="4"/>
      <c r="U682" s="4"/>
    </row>
    <row r="683" spans="1:21" ht="15.75" thickBot="1" x14ac:dyDescent="0.3">
      <c r="A683" s="9"/>
      <c r="B683" s="6">
        <v>267</v>
      </c>
      <c r="C683" s="13" t="s">
        <v>1488</v>
      </c>
      <c r="D683" s="6" t="s">
        <v>10</v>
      </c>
      <c r="E683" s="6" t="s">
        <v>11</v>
      </c>
      <c r="F683" s="6" t="s">
        <v>15</v>
      </c>
      <c r="G683" s="6">
        <v>164</v>
      </c>
      <c r="H683" s="6" t="s">
        <v>16</v>
      </c>
      <c r="I683" s="11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</row>
    <row r="684" spans="1:21" ht="15.75" thickBot="1" x14ac:dyDescent="0.3">
      <c r="A684" s="8" t="s">
        <v>696</v>
      </c>
      <c r="B684" s="5">
        <v>274</v>
      </c>
      <c r="C684" s="14" t="s">
        <v>1489</v>
      </c>
      <c r="D684" s="5" t="s">
        <v>10</v>
      </c>
      <c r="E684" s="5" t="s">
        <v>11</v>
      </c>
      <c r="F684" s="5" t="s">
        <v>12</v>
      </c>
      <c r="G684" s="5">
        <v>103</v>
      </c>
      <c r="H684" s="5" t="s">
        <v>13</v>
      </c>
      <c r="I684" s="10" t="s">
        <v>697</v>
      </c>
      <c r="J684" s="4"/>
      <c r="K684" s="12">
        <f t="shared" ref="K684:K715" si="1019">(C685-C684)*1000</f>
        <v>96.574999999999861</v>
      </c>
      <c r="L684" s="4"/>
      <c r="M684" s="12">
        <f t="shared" ref="M684:M715" si="1020">K684-$L$2</f>
        <v>-17.039426500000147</v>
      </c>
      <c r="N684" s="12">
        <f t="shared" ref="N684" si="1021">M684^2</f>
        <v>290.34205544890727</v>
      </c>
      <c r="O684" s="4"/>
      <c r="P684" s="4"/>
      <c r="Q684" s="4"/>
      <c r="R684" s="4"/>
      <c r="S684" s="4"/>
      <c r="T684" s="4"/>
      <c r="U684" s="4"/>
    </row>
    <row r="685" spans="1:21" ht="15.75" thickBot="1" x14ac:dyDescent="0.3">
      <c r="A685" s="9"/>
      <c r="B685" s="6">
        <v>300</v>
      </c>
      <c r="C685" s="13" t="s">
        <v>1490</v>
      </c>
      <c r="D685" s="6" t="s">
        <v>10</v>
      </c>
      <c r="E685" s="6" t="s">
        <v>11</v>
      </c>
      <c r="F685" s="6" t="s">
        <v>15</v>
      </c>
      <c r="G685" s="6">
        <v>164</v>
      </c>
      <c r="H685" s="6" t="s">
        <v>16</v>
      </c>
      <c r="I685" s="11"/>
      <c r="J685" s="4"/>
      <c r="K685" s="12"/>
      <c r="L685" s="4"/>
      <c r="M685" s="4"/>
      <c r="N685" s="4"/>
      <c r="O685" s="4"/>
      <c r="P685" s="4"/>
      <c r="Q685" s="4"/>
      <c r="R685" s="4"/>
      <c r="S685" s="4"/>
      <c r="T685" s="4"/>
      <c r="U685" s="4"/>
    </row>
    <row r="686" spans="1:21" ht="15.75" thickBot="1" x14ac:dyDescent="0.3">
      <c r="A686" s="8" t="s">
        <v>698</v>
      </c>
      <c r="B686" s="5">
        <v>229</v>
      </c>
      <c r="C686" s="14" t="s">
        <v>1491</v>
      </c>
      <c r="D686" s="5" t="s">
        <v>10</v>
      </c>
      <c r="E686" s="5" t="s">
        <v>11</v>
      </c>
      <c r="F686" s="5" t="s">
        <v>12</v>
      </c>
      <c r="G686" s="5">
        <v>103</v>
      </c>
      <c r="H686" s="5" t="s">
        <v>13</v>
      </c>
      <c r="I686" s="10" t="s">
        <v>699</v>
      </c>
      <c r="J686" s="4"/>
      <c r="K686" s="12">
        <f t="shared" ref="K686:K717" si="1022">(C687-C686)*1000</f>
        <v>51.749200000000158</v>
      </c>
      <c r="L686" s="4"/>
      <c r="M686" s="12">
        <f t="shared" ref="M686:M717" si="1023">K686-$L$2</f>
        <v>-61.865226499999849</v>
      </c>
      <c r="N686" s="12">
        <f t="shared" ref="N686" si="1024">M686^2</f>
        <v>3827.3062498962836</v>
      </c>
      <c r="O686" s="4"/>
      <c r="P686" s="4"/>
      <c r="Q686" s="4"/>
      <c r="R686" s="4"/>
      <c r="S686" s="4"/>
      <c r="T686" s="4"/>
      <c r="U686" s="4"/>
    </row>
    <row r="687" spans="1:21" ht="15.75" thickBot="1" x14ac:dyDescent="0.3">
      <c r="A687" s="9"/>
      <c r="B687" s="6">
        <v>242</v>
      </c>
      <c r="C687" s="13" t="s">
        <v>1492</v>
      </c>
      <c r="D687" s="6" t="s">
        <v>10</v>
      </c>
      <c r="E687" s="6" t="s">
        <v>11</v>
      </c>
      <c r="F687" s="6" t="s">
        <v>15</v>
      </c>
      <c r="G687" s="6">
        <v>164</v>
      </c>
      <c r="H687" s="6" t="s">
        <v>16</v>
      </c>
      <c r="I687" s="11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</row>
    <row r="688" spans="1:21" ht="15.75" thickBot="1" x14ac:dyDescent="0.3">
      <c r="A688" s="8" t="s">
        <v>700</v>
      </c>
      <c r="B688" s="5">
        <v>231</v>
      </c>
      <c r="C688" s="14" t="s">
        <v>1493</v>
      </c>
      <c r="D688" s="5" t="s">
        <v>10</v>
      </c>
      <c r="E688" s="5" t="s">
        <v>11</v>
      </c>
      <c r="F688" s="5" t="s">
        <v>12</v>
      </c>
      <c r="G688" s="5">
        <v>103</v>
      </c>
      <c r="H688" s="5" t="s">
        <v>13</v>
      </c>
      <c r="I688" s="10" t="s">
        <v>701</v>
      </c>
      <c r="J688" s="4"/>
      <c r="K688" s="12">
        <f t="shared" ref="K688:K719" si="1025">(C689-C688)*1000</f>
        <v>151.61599999999999</v>
      </c>
      <c r="L688" s="4"/>
      <c r="M688" s="12">
        <f t="shared" ref="M688:M719" si="1026">K688-$L$2</f>
        <v>38.001573499999978</v>
      </c>
      <c r="N688" s="12">
        <f t="shared" ref="N688" si="1027">M688^2</f>
        <v>1444.1195884759006</v>
      </c>
      <c r="O688" s="4"/>
      <c r="P688" s="4"/>
      <c r="Q688" s="4"/>
      <c r="R688" s="4"/>
      <c r="S688" s="4"/>
      <c r="T688" s="4"/>
      <c r="U688" s="4"/>
    </row>
    <row r="689" spans="1:21" ht="15.75" thickBot="1" x14ac:dyDescent="0.3">
      <c r="A689" s="9"/>
      <c r="B689" s="6">
        <v>270</v>
      </c>
      <c r="C689" s="13" t="s">
        <v>1494</v>
      </c>
      <c r="D689" s="6" t="s">
        <v>10</v>
      </c>
      <c r="E689" s="6" t="s">
        <v>11</v>
      </c>
      <c r="F689" s="6" t="s">
        <v>15</v>
      </c>
      <c r="G689" s="6">
        <v>164</v>
      </c>
      <c r="H689" s="6" t="s">
        <v>16</v>
      </c>
      <c r="I689" s="11"/>
      <c r="J689" s="4"/>
      <c r="K689" s="12"/>
      <c r="L689" s="4"/>
      <c r="M689" s="4"/>
      <c r="N689" s="4"/>
      <c r="O689" s="4"/>
      <c r="P689" s="4"/>
      <c r="Q689" s="4"/>
      <c r="R689" s="4"/>
      <c r="S689" s="4"/>
      <c r="T689" s="4"/>
      <c r="U689" s="4"/>
    </row>
    <row r="690" spans="1:21" ht="15.75" thickBot="1" x14ac:dyDescent="0.3">
      <c r="A690" s="8" t="s">
        <v>702</v>
      </c>
      <c r="B690" s="5">
        <v>246</v>
      </c>
      <c r="C690" s="14" t="s">
        <v>1495</v>
      </c>
      <c r="D690" s="5" t="s">
        <v>10</v>
      </c>
      <c r="E690" s="5" t="s">
        <v>11</v>
      </c>
      <c r="F690" s="5" t="s">
        <v>12</v>
      </c>
      <c r="G690" s="5">
        <v>103</v>
      </c>
      <c r="H690" s="5" t="s">
        <v>13</v>
      </c>
      <c r="I690" s="10" t="s">
        <v>703</v>
      </c>
      <c r="J690" s="4"/>
      <c r="K690" s="12">
        <f t="shared" ref="K690:K721" si="1028">(C691-C690)*1000</f>
        <v>47.996099999999984</v>
      </c>
      <c r="L690" s="4"/>
      <c r="M690" s="12">
        <f t="shared" ref="M690:M721" si="1029">K690-$L$2</f>
        <v>-65.618326500000023</v>
      </c>
      <c r="N690" s="12">
        <f t="shared" ref="N690" si="1030">M690^2</f>
        <v>4305.7647726606056</v>
      </c>
      <c r="O690" s="4"/>
      <c r="P690" s="4"/>
      <c r="Q690" s="4"/>
      <c r="R690" s="4"/>
      <c r="S690" s="4"/>
      <c r="T690" s="4"/>
      <c r="U690" s="4"/>
    </row>
    <row r="691" spans="1:21" ht="15.75" thickBot="1" x14ac:dyDescent="0.3">
      <c r="A691" s="9"/>
      <c r="B691" s="6">
        <v>257</v>
      </c>
      <c r="C691" s="13" t="s">
        <v>1496</v>
      </c>
      <c r="D691" s="6" t="s">
        <v>10</v>
      </c>
      <c r="E691" s="6" t="s">
        <v>11</v>
      </c>
      <c r="F691" s="6" t="s">
        <v>15</v>
      </c>
      <c r="G691" s="6">
        <v>164</v>
      </c>
      <c r="H691" s="6" t="s">
        <v>16</v>
      </c>
      <c r="I691" s="11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</row>
    <row r="692" spans="1:21" ht="15.75" thickBot="1" x14ac:dyDescent="0.3">
      <c r="A692" s="8" t="s">
        <v>704</v>
      </c>
      <c r="B692" s="5">
        <v>244</v>
      </c>
      <c r="C692" s="14" t="s">
        <v>1497</v>
      </c>
      <c r="D692" s="5" t="s">
        <v>10</v>
      </c>
      <c r="E692" s="5" t="s">
        <v>11</v>
      </c>
      <c r="F692" s="5" t="s">
        <v>12</v>
      </c>
      <c r="G692" s="5">
        <v>103</v>
      </c>
      <c r="H692" s="5" t="s">
        <v>13</v>
      </c>
      <c r="I692" s="10" t="s">
        <v>705</v>
      </c>
      <c r="J692" s="4"/>
      <c r="K692" s="12">
        <f t="shared" ref="K692:K723" si="1031">(C693-C692)*1000</f>
        <v>117.1918999999999</v>
      </c>
      <c r="L692" s="4"/>
      <c r="M692" s="12">
        <f t="shared" ref="M692:M723" si="1032">K692-$L$2</f>
        <v>3.5774734999998969</v>
      </c>
      <c r="N692" s="12">
        <f t="shared" ref="N692" si="1033">M692^2</f>
        <v>12.798316643201513</v>
      </c>
      <c r="O692" s="4"/>
      <c r="P692" s="4"/>
      <c r="Q692" s="4"/>
      <c r="R692" s="4"/>
      <c r="S692" s="4"/>
      <c r="T692" s="4"/>
      <c r="U692" s="4"/>
    </row>
    <row r="693" spans="1:21" ht="15.75" thickBot="1" x14ac:dyDescent="0.3">
      <c r="A693" s="9"/>
      <c r="B693" s="6">
        <v>272</v>
      </c>
      <c r="C693" s="13" t="s">
        <v>1498</v>
      </c>
      <c r="D693" s="6" t="s">
        <v>10</v>
      </c>
      <c r="E693" s="6" t="s">
        <v>11</v>
      </c>
      <c r="F693" s="6" t="s">
        <v>15</v>
      </c>
      <c r="G693" s="6">
        <v>164</v>
      </c>
      <c r="H693" s="6" t="s">
        <v>16</v>
      </c>
      <c r="I693" s="11"/>
      <c r="J693" s="4"/>
      <c r="K693" s="12"/>
      <c r="L693" s="4"/>
      <c r="M693" s="4"/>
      <c r="N693" s="4"/>
      <c r="O693" s="4"/>
      <c r="P693" s="4"/>
      <c r="Q693" s="4"/>
      <c r="R693" s="4"/>
      <c r="S693" s="4"/>
      <c r="T693" s="4"/>
      <c r="U693" s="4"/>
    </row>
    <row r="694" spans="1:21" ht="15.75" thickBot="1" x14ac:dyDescent="0.3">
      <c r="A694" s="8" t="s">
        <v>706</v>
      </c>
      <c r="B694" s="5">
        <v>266</v>
      </c>
      <c r="C694" s="14" t="s">
        <v>1499</v>
      </c>
      <c r="D694" s="5" t="s">
        <v>10</v>
      </c>
      <c r="E694" s="5" t="s">
        <v>11</v>
      </c>
      <c r="F694" s="5" t="s">
        <v>12</v>
      </c>
      <c r="G694" s="5">
        <v>103</v>
      </c>
      <c r="H694" s="5" t="s">
        <v>13</v>
      </c>
      <c r="I694" s="10" t="s">
        <v>707</v>
      </c>
      <c r="J694" s="4"/>
      <c r="K694" s="12">
        <f t="shared" ref="K694:K725" si="1034">(C695-C694)*1000</f>
        <v>112.45550000000004</v>
      </c>
      <c r="L694" s="4"/>
      <c r="M694" s="12">
        <f t="shared" ref="M694:M725" si="1035">K694-$L$2</f>
        <v>-1.1589264999999642</v>
      </c>
      <c r="N694" s="12">
        <f t="shared" ref="N694" si="1036">M694^2</f>
        <v>1.3431106324021671</v>
      </c>
      <c r="O694" s="4"/>
      <c r="P694" s="4"/>
      <c r="Q694" s="4"/>
      <c r="R694" s="4"/>
      <c r="S694" s="4"/>
      <c r="T694" s="4"/>
      <c r="U694" s="4"/>
    </row>
    <row r="695" spans="1:21" ht="15.75" thickBot="1" x14ac:dyDescent="0.3">
      <c r="A695" s="9"/>
      <c r="B695" s="6">
        <v>291</v>
      </c>
      <c r="C695" s="13" t="s">
        <v>1500</v>
      </c>
      <c r="D695" s="6" t="s">
        <v>10</v>
      </c>
      <c r="E695" s="6" t="s">
        <v>11</v>
      </c>
      <c r="F695" s="6" t="s">
        <v>15</v>
      </c>
      <c r="G695" s="6">
        <v>164</v>
      </c>
      <c r="H695" s="6" t="s">
        <v>16</v>
      </c>
      <c r="I695" s="11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</row>
    <row r="696" spans="1:21" ht="15.75" thickBot="1" x14ac:dyDescent="0.3">
      <c r="A696" s="8" t="s">
        <v>708</v>
      </c>
      <c r="B696" s="5">
        <v>264</v>
      </c>
      <c r="C696" s="14" t="s">
        <v>1501</v>
      </c>
      <c r="D696" s="5" t="s">
        <v>10</v>
      </c>
      <c r="E696" s="5" t="s">
        <v>11</v>
      </c>
      <c r="F696" s="5" t="s">
        <v>12</v>
      </c>
      <c r="G696" s="5">
        <v>103</v>
      </c>
      <c r="H696" s="5" t="s">
        <v>13</v>
      </c>
      <c r="I696" s="10" t="s">
        <v>709</v>
      </c>
      <c r="J696" s="4"/>
      <c r="K696" s="12">
        <f t="shared" ref="K696:K727" si="1037">(C697-C696)*1000</f>
        <v>100.34120000000013</v>
      </c>
      <c r="L696" s="4"/>
      <c r="M696" s="12">
        <f t="shared" ref="M696:M727" si="1038">K696-$L$2</f>
        <v>-13.273226499999879</v>
      </c>
      <c r="N696" s="12">
        <f t="shared" ref="N696" si="1039">M696^2</f>
        <v>176.17854172029905</v>
      </c>
      <c r="O696" s="4"/>
      <c r="P696" s="4"/>
      <c r="Q696" s="4"/>
      <c r="R696" s="4"/>
      <c r="S696" s="4"/>
      <c r="T696" s="4"/>
      <c r="U696" s="4"/>
    </row>
    <row r="697" spans="1:21" ht="15.75" thickBot="1" x14ac:dyDescent="0.3">
      <c r="A697" s="9"/>
      <c r="B697" s="6">
        <v>290</v>
      </c>
      <c r="C697" s="13" t="s">
        <v>1502</v>
      </c>
      <c r="D697" s="6" t="s">
        <v>10</v>
      </c>
      <c r="E697" s="6" t="s">
        <v>11</v>
      </c>
      <c r="F697" s="6" t="s">
        <v>15</v>
      </c>
      <c r="G697" s="6">
        <v>164</v>
      </c>
      <c r="H697" s="6" t="s">
        <v>16</v>
      </c>
      <c r="I697" s="11"/>
      <c r="J697" s="4"/>
      <c r="K697" s="12"/>
      <c r="L697" s="4"/>
      <c r="M697" s="4"/>
      <c r="N697" s="4"/>
      <c r="O697" s="4"/>
      <c r="P697" s="4"/>
      <c r="Q697" s="4"/>
      <c r="R697" s="4"/>
      <c r="S697" s="4"/>
      <c r="T697" s="4"/>
      <c r="U697" s="4"/>
    </row>
    <row r="698" spans="1:21" ht="15.75" thickBot="1" x14ac:dyDescent="0.3">
      <c r="A698" s="8" t="s">
        <v>710</v>
      </c>
      <c r="B698" s="5">
        <v>213</v>
      </c>
      <c r="C698" s="14" t="s">
        <v>1503</v>
      </c>
      <c r="D698" s="5" t="s">
        <v>10</v>
      </c>
      <c r="E698" s="5" t="s">
        <v>11</v>
      </c>
      <c r="F698" s="5" t="s">
        <v>12</v>
      </c>
      <c r="G698" s="5">
        <v>103</v>
      </c>
      <c r="H698" s="5" t="s">
        <v>13</v>
      </c>
      <c r="I698" s="10" t="s">
        <v>711</v>
      </c>
      <c r="J698" s="4"/>
      <c r="K698" s="12">
        <f t="shared" ref="K698:K729" si="1040">(C699-C698)*1000</f>
        <v>68.403000000000105</v>
      </c>
      <c r="L698" s="4"/>
      <c r="M698" s="12">
        <f t="shared" ref="M698:M729" si="1041">K698-$L$2</f>
        <v>-45.211426499999902</v>
      </c>
      <c r="N698" s="12">
        <f t="shared" ref="N698" si="1042">M698^2</f>
        <v>2044.0730861648933</v>
      </c>
      <c r="O698" s="4"/>
      <c r="P698" s="4"/>
      <c r="Q698" s="4"/>
      <c r="R698" s="4"/>
      <c r="S698" s="4"/>
      <c r="T698" s="4"/>
      <c r="U698" s="4"/>
    </row>
    <row r="699" spans="1:21" ht="15.75" thickBot="1" x14ac:dyDescent="0.3">
      <c r="A699" s="9"/>
      <c r="B699" s="6">
        <v>233</v>
      </c>
      <c r="C699" s="13" t="s">
        <v>1504</v>
      </c>
      <c r="D699" s="6" t="s">
        <v>10</v>
      </c>
      <c r="E699" s="6" t="s">
        <v>11</v>
      </c>
      <c r="F699" s="6" t="s">
        <v>15</v>
      </c>
      <c r="G699" s="6">
        <v>164</v>
      </c>
      <c r="H699" s="6" t="s">
        <v>16</v>
      </c>
      <c r="I699" s="11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</row>
    <row r="700" spans="1:21" ht="15.75" thickBot="1" x14ac:dyDescent="0.3">
      <c r="A700" s="8" t="s">
        <v>712</v>
      </c>
      <c r="B700" s="5">
        <v>307</v>
      </c>
      <c r="C700" s="14" t="s">
        <v>1505</v>
      </c>
      <c r="D700" s="5" t="s">
        <v>10</v>
      </c>
      <c r="E700" s="5" t="s">
        <v>11</v>
      </c>
      <c r="F700" s="5" t="s">
        <v>12</v>
      </c>
      <c r="G700" s="5">
        <v>103</v>
      </c>
      <c r="H700" s="5" t="s">
        <v>13</v>
      </c>
      <c r="I700" s="10" t="s">
        <v>713</v>
      </c>
      <c r="J700" s="4"/>
      <c r="K700" s="12">
        <f t="shared" ref="K700:K731" si="1043">(C701-C700)*1000</f>
        <v>111.34759999999999</v>
      </c>
      <c r="L700" s="4"/>
      <c r="M700" s="12">
        <f t="shared" ref="M700:M731" si="1044">K700-$L$2</f>
        <v>-2.2668265000000218</v>
      </c>
      <c r="N700" s="12">
        <f t="shared" ref="N700" si="1045">M700^2</f>
        <v>5.1385023811023487</v>
      </c>
      <c r="O700" s="4"/>
      <c r="P700" s="4"/>
      <c r="Q700" s="4"/>
      <c r="R700" s="4"/>
      <c r="S700" s="4"/>
      <c r="T700" s="4"/>
      <c r="U700" s="4"/>
    </row>
    <row r="701" spans="1:21" ht="15.75" thickBot="1" x14ac:dyDescent="0.3">
      <c r="A701" s="9"/>
      <c r="B701" s="6">
        <v>334</v>
      </c>
      <c r="C701" s="13" t="s">
        <v>1506</v>
      </c>
      <c r="D701" s="6" t="s">
        <v>10</v>
      </c>
      <c r="E701" s="6" t="s">
        <v>11</v>
      </c>
      <c r="F701" s="6" t="s">
        <v>15</v>
      </c>
      <c r="G701" s="6">
        <v>164</v>
      </c>
      <c r="H701" s="6" t="s">
        <v>16</v>
      </c>
      <c r="I701" s="11"/>
      <c r="J701" s="4"/>
      <c r="K701" s="12"/>
      <c r="L701" s="4"/>
      <c r="M701" s="4"/>
      <c r="N701" s="4"/>
      <c r="O701" s="4"/>
      <c r="P701" s="4"/>
      <c r="Q701" s="4"/>
      <c r="R701" s="4"/>
      <c r="S701" s="4"/>
      <c r="T701" s="4"/>
      <c r="U701" s="4"/>
    </row>
    <row r="702" spans="1:21" ht="15.75" thickBot="1" x14ac:dyDescent="0.3">
      <c r="A702" s="8" t="s">
        <v>714</v>
      </c>
      <c r="B702" s="5">
        <v>266</v>
      </c>
      <c r="C702" s="14" t="s">
        <v>1507</v>
      </c>
      <c r="D702" s="5" t="s">
        <v>10</v>
      </c>
      <c r="E702" s="5" t="s">
        <v>11</v>
      </c>
      <c r="F702" s="5" t="s">
        <v>12</v>
      </c>
      <c r="G702" s="5">
        <v>103</v>
      </c>
      <c r="H702" s="5" t="s">
        <v>13</v>
      </c>
      <c r="I702" s="10" t="s">
        <v>715</v>
      </c>
      <c r="J702" s="4"/>
      <c r="K702" s="12">
        <f t="shared" ref="K702:K733" si="1046">(C703-C702)*1000</f>
        <v>188.43449999999984</v>
      </c>
      <c r="L702" s="4"/>
      <c r="M702" s="12">
        <f t="shared" ref="M702:M733" si="1047">K702-$L$2</f>
        <v>74.820073499999836</v>
      </c>
      <c r="N702" s="12">
        <f t="shared" ref="N702" si="1048">M702^2</f>
        <v>5598.0433985453774</v>
      </c>
      <c r="O702" s="4"/>
      <c r="P702" s="4"/>
      <c r="Q702" s="4"/>
      <c r="R702" s="4"/>
      <c r="S702" s="4"/>
      <c r="T702" s="4"/>
      <c r="U702" s="4"/>
    </row>
    <row r="703" spans="1:21" ht="15.75" thickBot="1" x14ac:dyDescent="0.3">
      <c r="A703" s="9"/>
      <c r="B703" s="6">
        <v>306</v>
      </c>
      <c r="C703" s="13" t="s">
        <v>1508</v>
      </c>
      <c r="D703" s="6" t="s">
        <v>10</v>
      </c>
      <c r="E703" s="6" t="s">
        <v>11</v>
      </c>
      <c r="F703" s="6" t="s">
        <v>15</v>
      </c>
      <c r="G703" s="6">
        <v>164</v>
      </c>
      <c r="H703" s="6" t="s">
        <v>16</v>
      </c>
      <c r="I703" s="11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</row>
    <row r="704" spans="1:21" ht="15.75" thickBot="1" x14ac:dyDescent="0.3">
      <c r="A704" s="8" t="s">
        <v>716</v>
      </c>
      <c r="B704" s="5">
        <v>215</v>
      </c>
      <c r="C704" s="14" t="s">
        <v>1509</v>
      </c>
      <c r="D704" s="5" t="s">
        <v>10</v>
      </c>
      <c r="E704" s="5" t="s">
        <v>11</v>
      </c>
      <c r="F704" s="5" t="s">
        <v>12</v>
      </c>
      <c r="G704" s="5">
        <v>103</v>
      </c>
      <c r="H704" s="5" t="s">
        <v>13</v>
      </c>
      <c r="I704" s="10" t="s">
        <v>717</v>
      </c>
      <c r="J704" s="4"/>
      <c r="K704" s="12">
        <f t="shared" ref="K704:K735" si="1049">(C705-C704)*1000</f>
        <v>134.86410000000004</v>
      </c>
      <c r="L704" s="4"/>
      <c r="M704" s="12">
        <f t="shared" ref="M704:M735" si="1050">K704-$L$2</f>
        <v>21.249673500000029</v>
      </c>
      <c r="N704" s="12">
        <f t="shared" ref="N704" si="1051">M704^2</f>
        <v>451.54862385660346</v>
      </c>
      <c r="O704" s="4"/>
      <c r="P704" s="4"/>
      <c r="Q704" s="4"/>
      <c r="R704" s="4"/>
      <c r="S704" s="4"/>
      <c r="T704" s="4"/>
      <c r="U704" s="4"/>
    </row>
    <row r="705" spans="1:21" ht="15.75" thickBot="1" x14ac:dyDescent="0.3">
      <c r="A705" s="9"/>
      <c r="B705" s="6">
        <v>248</v>
      </c>
      <c r="C705" s="13" t="s">
        <v>1510</v>
      </c>
      <c r="D705" s="6" t="s">
        <v>10</v>
      </c>
      <c r="E705" s="6" t="s">
        <v>11</v>
      </c>
      <c r="F705" s="6" t="s">
        <v>15</v>
      </c>
      <c r="G705" s="6">
        <v>164</v>
      </c>
      <c r="H705" s="6" t="s">
        <v>16</v>
      </c>
      <c r="I705" s="11"/>
      <c r="J705" s="4"/>
      <c r="K705" s="12"/>
      <c r="L705" s="4"/>
      <c r="M705" s="4"/>
      <c r="N705" s="4"/>
      <c r="O705" s="4"/>
      <c r="P705" s="4"/>
      <c r="Q705" s="4"/>
      <c r="R705" s="4"/>
      <c r="S705" s="4"/>
      <c r="T705" s="4"/>
      <c r="U705" s="4"/>
    </row>
    <row r="706" spans="1:21" ht="15.75" thickBot="1" x14ac:dyDescent="0.3">
      <c r="A706" s="8" t="s">
        <v>718</v>
      </c>
      <c r="B706" s="5">
        <v>236</v>
      </c>
      <c r="C706" s="14" t="s">
        <v>1511</v>
      </c>
      <c r="D706" s="5" t="s">
        <v>10</v>
      </c>
      <c r="E706" s="5" t="s">
        <v>11</v>
      </c>
      <c r="F706" s="5" t="s">
        <v>12</v>
      </c>
      <c r="G706" s="5">
        <v>103</v>
      </c>
      <c r="H706" s="5" t="s">
        <v>13</v>
      </c>
      <c r="I706" s="10" t="s">
        <v>719</v>
      </c>
      <c r="J706" s="4"/>
      <c r="K706" s="12">
        <f t="shared" ref="K706:K737" si="1052">(C707-C706)*1000</f>
        <v>109.28159999999987</v>
      </c>
      <c r="L706" s="4"/>
      <c r="M706" s="12">
        <f t="shared" ref="M706:M737" si="1053">K706-$L$2</f>
        <v>-4.332826500000138</v>
      </c>
      <c r="N706" s="12">
        <f t="shared" ref="N706" si="1054">M706^2</f>
        <v>18.773385479103446</v>
      </c>
      <c r="O706" s="4"/>
      <c r="P706" s="4"/>
      <c r="Q706" s="4"/>
      <c r="R706" s="4"/>
      <c r="S706" s="4"/>
      <c r="T706" s="4"/>
      <c r="U706" s="4"/>
    </row>
    <row r="707" spans="1:21" ht="15.75" thickBot="1" x14ac:dyDescent="0.3">
      <c r="A707" s="9"/>
      <c r="B707" s="6">
        <v>265</v>
      </c>
      <c r="C707" s="13" t="s">
        <v>1512</v>
      </c>
      <c r="D707" s="6" t="s">
        <v>10</v>
      </c>
      <c r="E707" s="6" t="s">
        <v>11</v>
      </c>
      <c r="F707" s="6" t="s">
        <v>15</v>
      </c>
      <c r="G707" s="6">
        <v>164</v>
      </c>
      <c r="H707" s="6" t="s">
        <v>16</v>
      </c>
      <c r="I707" s="11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</row>
    <row r="708" spans="1:21" ht="15.75" thickBot="1" x14ac:dyDescent="0.3">
      <c r="A708" s="8" t="s">
        <v>720</v>
      </c>
      <c r="B708" s="5">
        <v>281</v>
      </c>
      <c r="C708" s="14" t="s">
        <v>1513</v>
      </c>
      <c r="D708" s="5" t="s">
        <v>10</v>
      </c>
      <c r="E708" s="5" t="s">
        <v>11</v>
      </c>
      <c r="F708" s="5" t="s">
        <v>12</v>
      </c>
      <c r="G708" s="5">
        <v>103</v>
      </c>
      <c r="H708" s="5" t="s">
        <v>13</v>
      </c>
      <c r="I708" s="10" t="s">
        <v>721</v>
      </c>
      <c r="J708" s="4"/>
      <c r="K708" s="12">
        <f t="shared" ref="K708:K739" si="1055">(C709-C708)*1000</f>
        <v>124.86130000000006</v>
      </c>
      <c r="L708" s="4"/>
      <c r="M708" s="12">
        <f t="shared" ref="M708:M739" si="1056">K708-$L$2</f>
        <v>11.246873500000049</v>
      </c>
      <c r="N708" s="12">
        <f t="shared" ref="N708" si="1057">M708^2</f>
        <v>126.49216352500336</v>
      </c>
      <c r="O708" s="4"/>
      <c r="P708" s="4"/>
      <c r="Q708" s="4"/>
      <c r="R708" s="4"/>
      <c r="S708" s="4"/>
      <c r="T708" s="4"/>
      <c r="U708" s="4"/>
    </row>
    <row r="709" spans="1:21" ht="15.75" thickBot="1" x14ac:dyDescent="0.3">
      <c r="A709" s="9"/>
      <c r="B709" s="6">
        <v>311</v>
      </c>
      <c r="C709" s="13" t="s">
        <v>1514</v>
      </c>
      <c r="D709" s="6" t="s">
        <v>10</v>
      </c>
      <c r="E709" s="6" t="s">
        <v>11</v>
      </c>
      <c r="F709" s="6" t="s">
        <v>15</v>
      </c>
      <c r="G709" s="6">
        <v>164</v>
      </c>
      <c r="H709" s="6" t="s">
        <v>16</v>
      </c>
      <c r="I709" s="11"/>
      <c r="J709" s="4"/>
      <c r="K709" s="12"/>
      <c r="L709" s="4"/>
      <c r="M709" s="4"/>
      <c r="N709" s="4"/>
      <c r="O709" s="4"/>
      <c r="P709" s="4"/>
      <c r="Q709" s="4"/>
      <c r="R709" s="4"/>
      <c r="S709" s="4"/>
      <c r="T709" s="4"/>
      <c r="U709" s="4"/>
    </row>
    <row r="710" spans="1:21" ht="15.75" thickBot="1" x14ac:dyDescent="0.3">
      <c r="A710" s="8" t="s">
        <v>722</v>
      </c>
      <c r="B710" s="5">
        <v>232</v>
      </c>
      <c r="C710" s="14" t="s">
        <v>1515</v>
      </c>
      <c r="D710" s="5" t="s">
        <v>10</v>
      </c>
      <c r="E710" s="5" t="s">
        <v>11</v>
      </c>
      <c r="F710" s="5" t="s">
        <v>12</v>
      </c>
      <c r="G710" s="5">
        <v>103</v>
      </c>
      <c r="H710" s="5" t="s">
        <v>13</v>
      </c>
      <c r="I710" s="10" t="s">
        <v>723</v>
      </c>
      <c r="J710" s="4"/>
      <c r="K710" s="12">
        <f t="shared" ref="K710:K741" si="1058">(C711-C710)*1000</f>
        <v>102.67760000000004</v>
      </c>
      <c r="L710" s="4"/>
      <c r="M710" s="12">
        <f t="shared" ref="M710:M741" si="1059">K710-$L$2</f>
        <v>-10.936826499999967</v>
      </c>
      <c r="N710" s="12">
        <f t="shared" ref="N710" si="1060">M710^2</f>
        <v>119.61417389110152</v>
      </c>
      <c r="O710" s="4"/>
      <c r="P710" s="4"/>
      <c r="Q710" s="4"/>
      <c r="R710" s="4"/>
      <c r="S710" s="4"/>
      <c r="T710" s="4"/>
      <c r="U710" s="4"/>
    </row>
    <row r="711" spans="1:21" ht="15.75" thickBot="1" x14ac:dyDescent="0.3">
      <c r="A711" s="9"/>
      <c r="B711" s="6">
        <v>257</v>
      </c>
      <c r="C711" s="13" t="s">
        <v>1516</v>
      </c>
      <c r="D711" s="6" t="s">
        <v>10</v>
      </c>
      <c r="E711" s="6" t="s">
        <v>11</v>
      </c>
      <c r="F711" s="6" t="s">
        <v>15</v>
      </c>
      <c r="G711" s="6">
        <v>164</v>
      </c>
      <c r="H711" s="6" t="s">
        <v>16</v>
      </c>
      <c r="I711" s="11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</row>
    <row r="712" spans="1:21" ht="15.75" thickBot="1" x14ac:dyDescent="0.3">
      <c r="A712" s="8" t="s">
        <v>724</v>
      </c>
      <c r="B712" s="5">
        <v>277</v>
      </c>
      <c r="C712" s="14" t="s">
        <v>1517</v>
      </c>
      <c r="D712" s="5" t="s">
        <v>10</v>
      </c>
      <c r="E712" s="5" t="s">
        <v>11</v>
      </c>
      <c r="F712" s="5" t="s">
        <v>12</v>
      </c>
      <c r="G712" s="5">
        <v>103</v>
      </c>
      <c r="H712" s="5" t="s">
        <v>13</v>
      </c>
      <c r="I712" s="10" t="s">
        <v>725</v>
      </c>
      <c r="J712" s="4"/>
      <c r="K712" s="12">
        <f t="shared" ref="K712:K743" si="1061">(C713-C712)*1000</f>
        <v>87.906000000000034</v>
      </c>
      <c r="L712" s="4"/>
      <c r="M712" s="12">
        <f t="shared" ref="M712:M743" si="1062">K712-$L$2</f>
        <v>-25.708426499999973</v>
      </c>
      <c r="N712" s="12">
        <f t="shared" ref="N712" si="1063">M712^2</f>
        <v>660.92319310590085</v>
      </c>
      <c r="O712" s="4"/>
      <c r="P712" s="4"/>
      <c r="Q712" s="4"/>
      <c r="R712" s="4"/>
      <c r="S712" s="4"/>
      <c r="T712" s="4"/>
      <c r="U712" s="4"/>
    </row>
    <row r="713" spans="1:21" ht="15.75" thickBot="1" x14ac:dyDescent="0.3">
      <c r="A713" s="9"/>
      <c r="B713" s="6">
        <v>300</v>
      </c>
      <c r="C713" s="13" t="s">
        <v>1518</v>
      </c>
      <c r="D713" s="6" t="s">
        <v>10</v>
      </c>
      <c r="E713" s="6" t="s">
        <v>11</v>
      </c>
      <c r="F713" s="6" t="s">
        <v>15</v>
      </c>
      <c r="G713" s="6">
        <v>164</v>
      </c>
      <c r="H713" s="6" t="s">
        <v>16</v>
      </c>
      <c r="I713" s="11"/>
      <c r="J713" s="4"/>
      <c r="K713" s="12"/>
      <c r="L713" s="4"/>
      <c r="M713" s="4"/>
      <c r="N713" s="4"/>
      <c r="O713" s="4"/>
      <c r="P713" s="4"/>
      <c r="Q713" s="4"/>
      <c r="R713" s="4"/>
      <c r="S713" s="4"/>
      <c r="T713" s="4"/>
      <c r="U713" s="4"/>
    </row>
    <row r="714" spans="1:21" ht="15.75" thickBot="1" x14ac:dyDescent="0.3">
      <c r="A714" s="8" t="s">
        <v>726</v>
      </c>
      <c r="B714" s="5">
        <v>228</v>
      </c>
      <c r="C714" s="14" t="s">
        <v>1519</v>
      </c>
      <c r="D714" s="5" t="s">
        <v>10</v>
      </c>
      <c r="E714" s="5" t="s">
        <v>11</v>
      </c>
      <c r="F714" s="5" t="s">
        <v>12</v>
      </c>
      <c r="G714" s="5">
        <v>103</v>
      </c>
      <c r="H714" s="5" t="s">
        <v>13</v>
      </c>
      <c r="I714" s="10" t="s">
        <v>727</v>
      </c>
      <c r="J714" s="4"/>
      <c r="K714" s="12">
        <f t="shared" ref="K714:K745" si="1064">(C715-C714)*1000</f>
        <v>134.41470000000001</v>
      </c>
      <c r="L714" s="4"/>
      <c r="M714" s="12">
        <f t="shared" ref="M714:M745" si="1065">K714-$L$2</f>
        <v>20.800273500000003</v>
      </c>
      <c r="N714" s="12">
        <f t="shared" ref="N714" si="1066">M714^2</f>
        <v>432.65137767480235</v>
      </c>
      <c r="O714" s="4"/>
      <c r="P714" s="4"/>
      <c r="Q714" s="4"/>
      <c r="R714" s="4"/>
      <c r="S714" s="4"/>
      <c r="T714" s="4"/>
      <c r="U714" s="4"/>
    </row>
    <row r="715" spans="1:21" ht="15.75" thickBot="1" x14ac:dyDescent="0.3">
      <c r="A715" s="9"/>
      <c r="B715" s="6">
        <v>257</v>
      </c>
      <c r="C715" s="13" t="s">
        <v>1520</v>
      </c>
      <c r="D715" s="6" t="s">
        <v>10</v>
      </c>
      <c r="E715" s="6" t="s">
        <v>11</v>
      </c>
      <c r="F715" s="6" t="s">
        <v>15</v>
      </c>
      <c r="G715" s="6">
        <v>164</v>
      </c>
      <c r="H715" s="6" t="s">
        <v>16</v>
      </c>
      <c r="I715" s="11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</row>
    <row r="716" spans="1:21" ht="15.75" thickBot="1" x14ac:dyDescent="0.3">
      <c r="A716" s="8" t="s">
        <v>728</v>
      </c>
      <c r="B716" s="5">
        <v>234</v>
      </c>
      <c r="C716" s="14" t="s">
        <v>1521</v>
      </c>
      <c r="D716" s="5" t="s">
        <v>10</v>
      </c>
      <c r="E716" s="5" t="s">
        <v>11</v>
      </c>
      <c r="F716" s="5" t="s">
        <v>12</v>
      </c>
      <c r="G716" s="5">
        <v>103</v>
      </c>
      <c r="H716" s="5" t="s">
        <v>13</v>
      </c>
      <c r="I716" s="10" t="s">
        <v>729</v>
      </c>
      <c r="J716" s="4"/>
      <c r="K716" s="12">
        <f t="shared" ref="K716:K747" si="1067">(C717-C716)*1000</f>
        <v>122.12030000000019</v>
      </c>
      <c r="L716" s="4"/>
      <c r="M716" s="12">
        <f t="shared" ref="M716:M747" si="1068">K716-$L$2</f>
        <v>8.5058735000001775</v>
      </c>
      <c r="N716" s="12">
        <f t="shared" ref="N716" si="1069">M716^2</f>
        <v>72.349883998005268</v>
      </c>
      <c r="O716" s="4"/>
      <c r="P716" s="4"/>
      <c r="Q716" s="4"/>
      <c r="R716" s="4"/>
      <c r="S716" s="4"/>
      <c r="T716" s="4"/>
      <c r="U716" s="4"/>
    </row>
    <row r="717" spans="1:21" ht="15.75" thickBot="1" x14ac:dyDescent="0.3">
      <c r="A717" s="9"/>
      <c r="B717" s="6">
        <v>267</v>
      </c>
      <c r="C717" s="13" t="s">
        <v>1522</v>
      </c>
      <c r="D717" s="6" t="s">
        <v>10</v>
      </c>
      <c r="E717" s="6" t="s">
        <v>11</v>
      </c>
      <c r="F717" s="6" t="s">
        <v>15</v>
      </c>
      <c r="G717" s="6">
        <v>164</v>
      </c>
      <c r="H717" s="6" t="s">
        <v>16</v>
      </c>
      <c r="I717" s="11"/>
      <c r="J717" s="4"/>
      <c r="K717" s="12"/>
      <c r="L717" s="4"/>
      <c r="M717" s="4"/>
      <c r="N717" s="4"/>
      <c r="O717" s="4"/>
      <c r="P717" s="4"/>
      <c r="Q717" s="4"/>
      <c r="R717" s="4"/>
      <c r="S717" s="4"/>
      <c r="T717" s="4"/>
      <c r="U717" s="4"/>
    </row>
    <row r="718" spans="1:21" ht="15.75" thickBot="1" x14ac:dyDescent="0.3">
      <c r="A718" s="8" t="s">
        <v>730</v>
      </c>
      <c r="B718" s="5">
        <v>254</v>
      </c>
      <c r="C718" s="14" t="s">
        <v>1523</v>
      </c>
      <c r="D718" s="5" t="s">
        <v>10</v>
      </c>
      <c r="E718" s="5" t="s">
        <v>11</v>
      </c>
      <c r="F718" s="5" t="s">
        <v>12</v>
      </c>
      <c r="G718" s="5">
        <v>103</v>
      </c>
      <c r="H718" s="5" t="s">
        <v>13</v>
      </c>
      <c r="I718" s="10" t="s">
        <v>731</v>
      </c>
      <c r="J718" s="4"/>
      <c r="K718" s="12">
        <f t="shared" ref="K718:K749" si="1070">(C719-C718)*1000</f>
        <v>77.457600000000014</v>
      </c>
      <c r="L718" s="4"/>
      <c r="M718" s="12">
        <f t="shared" ref="M718:M749" si="1071">K718-$L$2</f>
        <v>-36.156826499999994</v>
      </c>
      <c r="N718" s="12">
        <f t="shared" ref="N718" si="1072">M718^2</f>
        <v>1307.3161025511017</v>
      </c>
      <c r="O718" s="4"/>
      <c r="P718" s="4"/>
      <c r="Q718" s="4"/>
      <c r="R718" s="4"/>
      <c r="S718" s="4"/>
      <c r="T718" s="4"/>
      <c r="U718" s="4"/>
    </row>
    <row r="719" spans="1:21" ht="15.75" thickBot="1" x14ac:dyDescent="0.3">
      <c r="A719" s="9"/>
      <c r="B719" s="6">
        <v>275</v>
      </c>
      <c r="C719" s="13" t="s">
        <v>1524</v>
      </c>
      <c r="D719" s="6" t="s">
        <v>10</v>
      </c>
      <c r="E719" s="6" t="s">
        <v>11</v>
      </c>
      <c r="F719" s="6" t="s">
        <v>15</v>
      </c>
      <c r="G719" s="6">
        <v>164</v>
      </c>
      <c r="H719" s="6" t="s">
        <v>16</v>
      </c>
      <c r="I719" s="11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</row>
    <row r="720" spans="1:21" ht="15.75" thickBot="1" x14ac:dyDescent="0.3">
      <c r="A720" s="8" t="s">
        <v>732</v>
      </c>
      <c r="B720" s="5">
        <v>220</v>
      </c>
      <c r="C720" s="14" t="s">
        <v>1525</v>
      </c>
      <c r="D720" s="5" t="s">
        <v>10</v>
      </c>
      <c r="E720" s="5" t="s">
        <v>11</v>
      </c>
      <c r="F720" s="5" t="s">
        <v>12</v>
      </c>
      <c r="G720" s="5">
        <v>103</v>
      </c>
      <c r="H720" s="5" t="s">
        <v>13</v>
      </c>
      <c r="I720" s="10" t="s">
        <v>733</v>
      </c>
      <c r="J720" s="4"/>
      <c r="K720" s="12">
        <f t="shared" ref="K720:K751" si="1073">(C721-C720)*1000</f>
        <v>163.99129999999994</v>
      </c>
      <c r="L720" s="4"/>
      <c r="M720" s="12">
        <f t="shared" ref="M720:M751" si="1074">K720-$L$2</f>
        <v>50.376873499999931</v>
      </c>
      <c r="N720" s="12">
        <f t="shared" ref="N720" si="1075">M720^2</f>
        <v>2537.8293836349953</v>
      </c>
      <c r="O720" s="4"/>
      <c r="P720" s="4"/>
      <c r="Q720" s="4"/>
      <c r="R720" s="4"/>
      <c r="S720" s="4"/>
      <c r="T720" s="4"/>
      <c r="U720" s="4"/>
    </row>
    <row r="721" spans="1:21" ht="15.75" thickBot="1" x14ac:dyDescent="0.3">
      <c r="A721" s="9"/>
      <c r="B721" s="6">
        <v>256</v>
      </c>
      <c r="C721" s="13" t="s">
        <v>1526</v>
      </c>
      <c r="D721" s="6" t="s">
        <v>10</v>
      </c>
      <c r="E721" s="6" t="s">
        <v>11</v>
      </c>
      <c r="F721" s="6" t="s">
        <v>15</v>
      </c>
      <c r="G721" s="6">
        <v>164</v>
      </c>
      <c r="H721" s="6" t="s">
        <v>16</v>
      </c>
      <c r="I721" s="11"/>
      <c r="J721" s="4"/>
      <c r="K721" s="12"/>
      <c r="L721" s="4"/>
      <c r="M721" s="4"/>
      <c r="N721" s="4"/>
      <c r="O721" s="4"/>
      <c r="P721" s="4"/>
      <c r="Q721" s="4"/>
      <c r="R721" s="4"/>
      <c r="S721" s="4"/>
      <c r="T721" s="4"/>
      <c r="U721" s="4"/>
    </row>
    <row r="722" spans="1:21" ht="15.75" thickBot="1" x14ac:dyDescent="0.3">
      <c r="A722" s="8" t="s">
        <v>734</v>
      </c>
      <c r="B722" s="5">
        <v>219</v>
      </c>
      <c r="C722" s="14" t="s">
        <v>1527</v>
      </c>
      <c r="D722" s="5" t="s">
        <v>10</v>
      </c>
      <c r="E722" s="5" t="s">
        <v>11</v>
      </c>
      <c r="F722" s="5" t="s">
        <v>12</v>
      </c>
      <c r="G722" s="5">
        <v>103</v>
      </c>
      <c r="H722" s="5" t="s">
        <v>13</v>
      </c>
      <c r="I722" s="10" t="s">
        <v>735</v>
      </c>
      <c r="J722" s="4"/>
      <c r="K722" s="12">
        <f t="shared" ref="K722:K753" si="1076">(C723-C722)*1000</f>
        <v>135.97020000000003</v>
      </c>
      <c r="L722" s="4"/>
      <c r="M722" s="12">
        <f t="shared" ref="M722:M753" si="1077">K722-$L$2</f>
        <v>22.355773500000026</v>
      </c>
      <c r="N722" s="12">
        <f t="shared" ref="N722" si="1078">M722^2</f>
        <v>499.78060878330342</v>
      </c>
      <c r="O722" s="4"/>
      <c r="P722" s="4"/>
      <c r="Q722" s="4"/>
      <c r="R722" s="4"/>
      <c r="S722" s="4"/>
      <c r="T722" s="4"/>
      <c r="U722" s="4"/>
    </row>
    <row r="723" spans="1:21" ht="15.75" thickBot="1" x14ac:dyDescent="0.3">
      <c r="A723" s="9"/>
      <c r="B723" s="6">
        <v>253</v>
      </c>
      <c r="C723" s="13" t="s">
        <v>1528</v>
      </c>
      <c r="D723" s="6" t="s">
        <v>10</v>
      </c>
      <c r="E723" s="6" t="s">
        <v>11</v>
      </c>
      <c r="F723" s="6" t="s">
        <v>15</v>
      </c>
      <c r="G723" s="6">
        <v>164</v>
      </c>
      <c r="H723" s="6" t="s">
        <v>16</v>
      </c>
      <c r="I723" s="11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</row>
    <row r="724" spans="1:21" ht="15.75" thickBot="1" x14ac:dyDescent="0.3">
      <c r="A724" s="8" t="s">
        <v>736</v>
      </c>
      <c r="B724" s="5">
        <v>244</v>
      </c>
      <c r="C724" s="14" t="s">
        <v>1529</v>
      </c>
      <c r="D724" s="5" t="s">
        <v>10</v>
      </c>
      <c r="E724" s="5" t="s">
        <v>11</v>
      </c>
      <c r="F724" s="5" t="s">
        <v>12</v>
      </c>
      <c r="G724" s="5">
        <v>103</v>
      </c>
      <c r="H724" s="5" t="s">
        <v>13</v>
      </c>
      <c r="I724" s="10" t="s">
        <v>737</v>
      </c>
      <c r="J724" s="4"/>
      <c r="K724" s="12">
        <f t="shared" ref="K724:K755" si="1079">(C725-C724)*1000</f>
        <v>53.537399999999955</v>
      </c>
      <c r="L724" s="4"/>
      <c r="M724" s="12">
        <f t="shared" ref="M724:M755" si="1080">K724-$L$2</f>
        <v>-60.077026500000052</v>
      </c>
      <c r="N724" s="12">
        <f t="shared" ref="N724" si="1081">M724^2</f>
        <v>3609.2491130817084</v>
      </c>
      <c r="O724" s="4"/>
      <c r="P724" s="4"/>
      <c r="Q724" s="4"/>
      <c r="R724" s="4"/>
      <c r="S724" s="4"/>
      <c r="T724" s="4"/>
      <c r="U724" s="4"/>
    </row>
    <row r="725" spans="1:21" ht="15.75" thickBot="1" x14ac:dyDescent="0.3">
      <c r="A725" s="9"/>
      <c r="B725" s="6">
        <v>257</v>
      </c>
      <c r="C725" s="13" t="s">
        <v>1530</v>
      </c>
      <c r="D725" s="6" t="s">
        <v>10</v>
      </c>
      <c r="E725" s="6" t="s">
        <v>11</v>
      </c>
      <c r="F725" s="6" t="s">
        <v>15</v>
      </c>
      <c r="G725" s="6">
        <v>164</v>
      </c>
      <c r="H725" s="6" t="s">
        <v>16</v>
      </c>
      <c r="I725" s="11"/>
      <c r="J725" s="4"/>
      <c r="K725" s="12"/>
      <c r="L725" s="4"/>
      <c r="M725" s="4"/>
      <c r="N725" s="4"/>
      <c r="O725" s="4"/>
      <c r="P725" s="4"/>
      <c r="Q725" s="4"/>
      <c r="R725" s="4"/>
      <c r="S725" s="4"/>
      <c r="T725" s="4"/>
      <c r="U725" s="4"/>
    </row>
    <row r="726" spans="1:21" ht="15.75" thickBot="1" x14ac:dyDescent="0.3">
      <c r="A726" s="8" t="s">
        <v>738</v>
      </c>
      <c r="B726" s="5">
        <v>281</v>
      </c>
      <c r="C726" s="14" t="s">
        <v>1531</v>
      </c>
      <c r="D726" s="5" t="s">
        <v>10</v>
      </c>
      <c r="E726" s="5" t="s">
        <v>11</v>
      </c>
      <c r="F726" s="5" t="s">
        <v>12</v>
      </c>
      <c r="G726" s="5">
        <v>103</v>
      </c>
      <c r="H726" s="5" t="s">
        <v>13</v>
      </c>
      <c r="I726" s="10" t="s">
        <v>739</v>
      </c>
      <c r="J726" s="4"/>
      <c r="K726" s="12">
        <f t="shared" ref="K726:K757" si="1082">(C727-C726)*1000</f>
        <v>152.1488999999998</v>
      </c>
      <c r="L726" s="4"/>
      <c r="M726" s="12">
        <f t="shared" ref="M726:M757" si="1083">K726-$L$2</f>
        <v>38.534473499999791</v>
      </c>
      <c r="N726" s="12">
        <f t="shared" ref="N726" si="1084">M726^2</f>
        <v>1484.9056479221861</v>
      </c>
      <c r="O726" s="4"/>
      <c r="P726" s="4"/>
      <c r="Q726" s="4"/>
      <c r="R726" s="4"/>
      <c r="S726" s="4"/>
      <c r="T726" s="4"/>
      <c r="U726" s="4"/>
    </row>
    <row r="727" spans="1:21" ht="15.75" thickBot="1" x14ac:dyDescent="0.3">
      <c r="A727" s="9"/>
      <c r="B727" s="6">
        <v>318</v>
      </c>
      <c r="C727" s="13" t="s">
        <v>1532</v>
      </c>
      <c r="D727" s="6" t="s">
        <v>10</v>
      </c>
      <c r="E727" s="6" t="s">
        <v>11</v>
      </c>
      <c r="F727" s="6" t="s">
        <v>15</v>
      </c>
      <c r="G727" s="6">
        <v>164</v>
      </c>
      <c r="H727" s="6" t="s">
        <v>16</v>
      </c>
      <c r="I727" s="11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</row>
    <row r="728" spans="1:21" ht="15.75" thickBot="1" x14ac:dyDescent="0.3">
      <c r="A728" s="8" t="s">
        <v>740</v>
      </c>
      <c r="B728" s="5">
        <v>282</v>
      </c>
      <c r="C728" s="14" t="s">
        <v>1533</v>
      </c>
      <c r="D728" s="5" t="s">
        <v>10</v>
      </c>
      <c r="E728" s="5" t="s">
        <v>11</v>
      </c>
      <c r="F728" s="5" t="s">
        <v>12</v>
      </c>
      <c r="G728" s="5">
        <v>103</v>
      </c>
      <c r="H728" s="5" t="s">
        <v>13</v>
      </c>
      <c r="I728" s="10" t="s">
        <v>741</v>
      </c>
      <c r="J728" s="4"/>
      <c r="K728" s="12">
        <f t="shared" ref="K728:K759" si="1085">(C729-C728)*1000</f>
        <v>106.00799999999988</v>
      </c>
      <c r="L728" s="4"/>
      <c r="M728" s="12">
        <f t="shared" ref="M728:M759" si="1086">K728-$L$2</f>
        <v>-7.6064265000001257</v>
      </c>
      <c r="N728" s="12">
        <f t="shared" ref="N728" si="1087">M728^2</f>
        <v>57.857724099904161</v>
      </c>
      <c r="O728" s="4"/>
      <c r="P728" s="4"/>
      <c r="Q728" s="4"/>
      <c r="R728" s="4"/>
      <c r="S728" s="4"/>
      <c r="T728" s="4"/>
      <c r="U728" s="4"/>
    </row>
    <row r="729" spans="1:21" ht="15.75" thickBot="1" x14ac:dyDescent="0.3">
      <c r="A729" s="9"/>
      <c r="B729" s="6">
        <v>310</v>
      </c>
      <c r="C729" s="13" t="s">
        <v>1534</v>
      </c>
      <c r="D729" s="6" t="s">
        <v>10</v>
      </c>
      <c r="E729" s="6" t="s">
        <v>11</v>
      </c>
      <c r="F729" s="6" t="s">
        <v>15</v>
      </c>
      <c r="G729" s="6">
        <v>164</v>
      </c>
      <c r="H729" s="6" t="s">
        <v>16</v>
      </c>
      <c r="I729" s="11"/>
      <c r="J729" s="4"/>
      <c r="K729" s="12"/>
      <c r="L729" s="4"/>
      <c r="M729" s="4"/>
      <c r="N729" s="4"/>
      <c r="O729" s="4"/>
      <c r="P729" s="4"/>
      <c r="Q729" s="4"/>
      <c r="R729" s="4"/>
      <c r="S729" s="4"/>
      <c r="T729" s="4"/>
      <c r="U729" s="4"/>
    </row>
    <row r="730" spans="1:21" ht="15.75" thickBot="1" x14ac:dyDescent="0.3">
      <c r="A730" s="8" t="s">
        <v>742</v>
      </c>
      <c r="B730" s="5">
        <v>269</v>
      </c>
      <c r="C730" s="14" t="s">
        <v>1535</v>
      </c>
      <c r="D730" s="5" t="s">
        <v>10</v>
      </c>
      <c r="E730" s="5" t="s">
        <v>11</v>
      </c>
      <c r="F730" s="5" t="s">
        <v>12</v>
      </c>
      <c r="G730" s="5">
        <v>103</v>
      </c>
      <c r="H730" s="5" t="s">
        <v>13</v>
      </c>
      <c r="I730" s="10" t="s">
        <v>743</v>
      </c>
      <c r="J730" s="4"/>
      <c r="K730" s="12">
        <f t="shared" ref="K730:K761" si="1088">(C731-C730)*1000</f>
        <v>153.01740000000018</v>
      </c>
      <c r="L730" s="4"/>
      <c r="M730" s="12">
        <f t="shared" ref="M730:M761" si="1089">K730-$L$2</f>
        <v>39.402973500000172</v>
      </c>
      <c r="N730" s="12">
        <f t="shared" ref="N730" si="1090">M730^2</f>
        <v>1552.5943206417157</v>
      </c>
      <c r="O730" s="4"/>
      <c r="P730" s="4"/>
      <c r="Q730" s="4"/>
      <c r="R730" s="4"/>
      <c r="S730" s="4"/>
      <c r="T730" s="4"/>
      <c r="U730" s="4"/>
    </row>
    <row r="731" spans="1:21" ht="15.75" thickBot="1" x14ac:dyDescent="0.3">
      <c r="A731" s="9"/>
      <c r="B731" s="6">
        <v>310</v>
      </c>
      <c r="C731" s="13" t="s">
        <v>1536</v>
      </c>
      <c r="D731" s="6" t="s">
        <v>10</v>
      </c>
      <c r="E731" s="6" t="s">
        <v>11</v>
      </c>
      <c r="F731" s="6" t="s">
        <v>15</v>
      </c>
      <c r="G731" s="6">
        <v>164</v>
      </c>
      <c r="H731" s="6" t="s">
        <v>16</v>
      </c>
      <c r="I731" s="11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</row>
    <row r="732" spans="1:21" ht="15.75" thickBot="1" x14ac:dyDescent="0.3">
      <c r="A732" s="8" t="s">
        <v>744</v>
      </c>
      <c r="B732" s="5">
        <v>309</v>
      </c>
      <c r="C732" s="14" t="s">
        <v>1537</v>
      </c>
      <c r="D732" s="5" t="s">
        <v>10</v>
      </c>
      <c r="E732" s="5" t="s">
        <v>11</v>
      </c>
      <c r="F732" s="5" t="s">
        <v>12</v>
      </c>
      <c r="G732" s="5">
        <v>103</v>
      </c>
      <c r="H732" s="5" t="s">
        <v>13</v>
      </c>
      <c r="I732" s="10" t="s">
        <v>745</v>
      </c>
      <c r="J732" s="4"/>
      <c r="K732" s="12">
        <f t="shared" ref="K732:K763" si="1091">(C733-C732)*1000</f>
        <v>146.45060000000009</v>
      </c>
      <c r="L732" s="4"/>
      <c r="M732" s="12">
        <f t="shared" ref="M732:M763" si="1092">K732-$L$2</f>
        <v>32.836173500000086</v>
      </c>
      <c r="N732" s="12">
        <f t="shared" ref="N732" si="1093">M732^2</f>
        <v>1078.214290122108</v>
      </c>
      <c r="O732" s="4"/>
      <c r="P732" s="4"/>
      <c r="Q732" s="4"/>
      <c r="R732" s="4"/>
      <c r="S732" s="4"/>
      <c r="T732" s="4"/>
      <c r="U732" s="4"/>
    </row>
    <row r="733" spans="1:21" ht="15.75" thickBot="1" x14ac:dyDescent="0.3">
      <c r="A733" s="9"/>
      <c r="B733" s="6">
        <v>345</v>
      </c>
      <c r="C733" s="13" t="s">
        <v>1538</v>
      </c>
      <c r="D733" s="6" t="s">
        <v>10</v>
      </c>
      <c r="E733" s="6" t="s">
        <v>11</v>
      </c>
      <c r="F733" s="6" t="s">
        <v>15</v>
      </c>
      <c r="G733" s="6">
        <v>164</v>
      </c>
      <c r="H733" s="6" t="s">
        <v>16</v>
      </c>
      <c r="I733" s="11"/>
      <c r="J733" s="4"/>
      <c r="K733" s="12"/>
      <c r="L733" s="4"/>
      <c r="M733" s="4"/>
      <c r="N733" s="4"/>
      <c r="O733" s="4"/>
      <c r="P733" s="4"/>
      <c r="Q733" s="4"/>
      <c r="R733" s="4"/>
      <c r="S733" s="4"/>
      <c r="T733" s="4"/>
      <c r="U733" s="4"/>
    </row>
    <row r="734" spans="1:21" ht="15.75" thickBot="1" x14ac:dyDescent="0.3">
      <c r="A734" s="8" t="s">
        <v>746</v>
      </c>
      <c r="B734" s="5">
        <v>282</v>
      </c>
      <c r="C734" s="14" t="s">
        <v>1539</v>
      </c>
      <c r="D734" s="5" t="s">
        <v>10</v>
      </c>
      <c r="E734" s="5" t="s">
        <v>11</v>
      </c>
      <c r="F734" s="5" t="s">
        <v>12</v>
      </c>
      <c r="G734" s="5">
        <v>103</v>
      </c>
      <c r="H734" s="5" t="s">
        <v>13</v>
      </c>
      <c r="I734" s="10" t="s">
        <v>747</v>
      </c>
      <c r="J734" s="4"/>
      <c r="K734" s="12">
        <f t="shared" ref="K734:K765" si="1094">(C735-C734)*1000</f>
        <v>45.322799999999887</v>
      </c>
      <c r="L734" s="4"/>
      <c r="M734" s="12">
        <f t="shared" ref="M734:M765" si="1095">K734-$L$2</f>
        <v>-68.29162650000012</v>
      </c>
      <c r="N734" s="12">
        <f t="shared" ref="N734" si="1096">M734^2</f>
        <v>4663.7462500155189</v>
      </c>
      <c r="O734" s="4"/>
      <c r="P734" s="4"/>
      <c r="Q734" s="4"/>
      <c r="R734" s="4"/>
      <c r="S734" s="4"/>
      <c r="T734" s="4"/>
      <c r="U734" s="4"/>
    </row>
    <row r="735" spans="1:21" ht="15.75" thickBot="1" x14ac:dyDescent="0.3">
      <c r="A735" s="9"/>
      <c r="B735" s="6">
        <v>296</v>
      </c>
      <c r="C735" s="13" t="s">
        <v>1540</v>
      </c>
      <c r="D735" s="6" t="s">
        <v>10</v>
      </c>
      <c r="E735" s="6" t="s">
        <v>11</v>
      </c>
      <c r="F735" s="6" t="s">
        <v>15</v>
      </c>
      <c r="G735" s="6">
        <v>164</v>
      </c>
      <c r="H735" s="6" t="s">
        <v>16</v>
      </c>
      <c r="I735" s="11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</row>
    <row r="736" spans="1:21" ht="15.75" thickBot="1" x14ac:dyDescent="0.3">
      <c r="A736" s="8" t="s">
        <v>748</v>
      </c>
      <c r="B736" s="5">
        <v>261</v>
      </c>
      <c r="C736" s="14" t="s">
        <v>1541</v>
      </c>
      <c r="D736" s="5" t="s">
        <v>10</v>
      </c>
      <c r="E736" s="5" t="s">
        <v>11</v>
      </c>
      <c r="F736" s="5" t="s">
        <v>12</v>
      </c>
      <c r="G736" s="5">
        <v>103</v>
      </c>
      <c r="H736" s="5" t="s">
        <v>13</v>
      </c>
      <c r="I736" s="10" t="s">
        <v>749</v>
      </c>
      <c r="J736" s="4"/>
      <c r="K736" s="12">
        <f t="shared" ref="K736:K767" si="1097">(C737-C736)*1000</f>
        <v>180.78569999999993</v>
      </c>
      <c r="L736" s="4"/>
      <c r="M736" s="12">
        <f t="shared" ref="M736:M767" si="1098">K736-$L$2</f>
        <v>67.171273499999927</v>
      </c>
      <c r="N736" s="12">
        <f t="shared" ref="N736" si="1099">M736^2</f>
        <v>4511.9799836117927</v>
      </c>
      <c r="O736" s="4"/>
      <c r="P736" s="4"/>
      <c r="Q736" s="4"/>
      <c r="R736" s="4"/>
      <c r="S736" s="4"/>
      <c r="T736" s="4"/>
      <c r="U736" s="4"/>
    </row>
    <row r="737" spans="1:21" ht="15.75" thickBot="1" x14ac:dyDescent="0.3">
      <c r="A737" s="9"/>
      <c r="B737" s="6">
        <v>298</v>
      </c>
      <c r="C737" s="13" t="s">
        <v>1542</v>
      </c>
      <c r="D737" s="6" t="s">
        <v>10</v>
      </c>
      <c r="E737" s="6" t="s">
        <v>11</v>
      </c>
      <c r="F737" s="6" t="s">
        <v>15</v>
      </c>
      <c r="G737" s="6">
        <v>164</v>
      </c>
      <c r="H737" s="6" t="s">
        <v>16</v>
      </c>
      <c r="I737" s="11"/>
      <c r="J737" s="4"/>
      <c r="K737" s="12"/>
      <c r="L737" s="4"/>
      <c r="M737" s="4"/>
      <c r="N737" s="4"/>
      <c r="O737" s="4"/>
      <c r="P737" s="4"/>
      <c r="Q737" s="4"/>
      <c r="R737" s="4"/>
      <c r="S737" s="4"/>
      <c r="T737" s="4"/>
      <c r="U737" s="4"/>
    </row>
    <row r="738" spans="1:21" ht="15.75" thickBot="1" x14ac:dyDescent="0.3">
      <c r="A738" s="8" t="s">
        <v>750</v>
      </c>
      <c r="B738" s="5">
        <v>237</v>
      </c>
      <c r="C738" s="14" t="s">
        <v>1543</v>
      </c>
      <c r="D738" s="5" t="s">
        <v>10</v>
      </c>
      <c r="E738" s="5" t="s">
        <v>11</v>
      </c>
      <c r="F738" s="5" t="s">
        <v>12</v>
      </c>
      <c r="G738" s="5">
        <v>103</v>
      </c>
      <c r="H738" s="5" t="s">
        <v>13</v>
      </c>
      <c r="I738" s="10" t="s">
        <v>751</v>
      </c>
      <c r="J738" s="4"/>
      <c r="K738" s="12">
        <f t="shared" ref="K738:K769" si="1100">(C739-C738)*1000</f>
        <v>44.641999999999847</v>
      </c>
      <c r="L738" s="4"/>
      <c r="M738" s="12">
        <f t="shared" ref="M738:M769" si="1101">K738-$L$2</f>
        <v>-68.972426500000154</v>
      </c>
      <c r="N738" s="12">
        <f t="shared" ref="N738" si="1102">M738^2</f>
        <v>4757.1956172979235</v>
      </c>
      <c r="O738" s="4"/>
      <c r="P738" s="4"/>
      <c r="Q738" s="4"/>
      <c r="R738" s="4"/>
      <c r="S738" s="4"/>
      <c r="T738" s="4"/>
      <c r="U738" s="4"/>
    </row>
    <row r="739" spans="1:21" ht="15.75" thickBot="1" x14ac:dyDescent="0.3">
      <c r="A739" s="9"/>
      <c r="B739" s="6">
        <v>250</v>
      </c>
      <c r="C739" s="13" t="s">
        <v>1544</v>
      </c>
      <c r="D739" s="6" t="s">
        <v>10</v>
      </c>
      <c r="E739" s="6" t="s">
        <v>11</v>
      </c>
      <c r="F739" s="6" t="s">
        <v>15</v>
      </c>
      <c r="G739" s="6">
        <v>164</v>
      </c>
      <c r="H739" s="6" t="s">
        <v>16</v>
      </c>
      <c r="I739" s="11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</row>
    <row r="740" spans="1:21" ht="15.75" thickBot="1" x14ac:dyDescent="0.3">
      <c r="A740" s="8" t="s">
        <v>752</v>
      </c>
      <c r="B740" s="5">
        <v>238</v>
      </c>
      <c r="C740" s="14" t="s">
        <v>1545</v>
      </c>
      <c r="D740" s="5" t="s">
        <v>10</v>
      </c>
      <c r="E740" s="5" t="s">
        <v>11</v>
      </c>
      <c r="F740" s="5" t="s">
        <v>12</v>
      </c>
      <c r="G740" s="5">
        <v>103</v>
      </c>
      <c r="H740" s="5" t="s">
        <v>13</v>
      </c>
      <c r="I740" s="10" t="s">
        <v>753</v>
      </c>
      <c r="J740" s="4"/>
      <c r="K740" s="12">
        <f t="shared" ref="K740:K771" si="1103">(C741-C740)*1000</f>
        <v>95.065399999999855</v>
      </c>
      <c r="L740" s="4"/>
      <c r="M740" s="12">
        <f t="shared" ref="M740:M771" si="1104">K740-$L$2</f>
        <v>-18.549026500000153</v>
      </c>
      <c r="N740" s="12">
        <f t="shared" ref="N740" si="1105">M740^2</f>
        <v>344.0663840977079</v>
      </c>
      <c r="O740" s="4"/>
      <c r="P740" s="4"/>
      <c r="Q740" s="4"/>
      <c r="R740" s="4"/>
      <c r="S740" s="4"/>
      <c r="T740" s="4"/>
      <c r="U740" s="4"/>
    </row>
    <row r="741" spans="1:21" ht="15.75" thickBot="1" x14ac:dyDescent="0.3">
      <c r="A741" s="9"/>
      <c r="B741" s="6">
        <v>261</v>
      </c>
      <c r="C741" s="13" t="s">
        <v>1546</v>
      </c>
      <c r="D741" s="6" t="s">
        <v>10</v>
      </c>
      <c r="E741" s="6" t="s">
        <v>11</v>
      </c>
      <c r="F741" s="6" t="s">
        <v>15</v>
      </c>
      <c r="G741" s="6">
        <v>164</v>
      </c>
      <c r="H741" s="6" t="s">
        <v>16</v>
      </c>
      <c r="I741" s="11"/>
      <c r="J741" s="4"/>
      <c r="K741" s="12"/>
      <c r="L741" s="4"/>
      <c r="M741" s="4"/>
      <c r="N741" s="4"/>
      <c r="O741" s="4"/>
      <c r="P741" s="4"/>
      <c r="Q741" s="4"/>
      <c r="R741" s="4"/>
      <c r="S741" s="4"/>
      <c r="T741" s="4"/>
      <c r="U741" s="4"/>
    </row>
    <row r="742" spans="1:21" ht="15.75" thickBot="1" x14ac:dyDescent="0.3">
      <c r="A742" s="8" t="s">
        <v>754</v>
      </c>
      <c r="B742" s="5">
        <v>230</v>
      </c>
      <c r="C742" s="14" t="s">
        <v>1547</v>
      </c>
      <c r="D742" s="5" t="s">
        <v>10</v>
      </c>
      <c r="E742" s="5" t="s">
        <v>11</v>
      </c>
      <c r="F742" s="5" t="s">
        <v>12</v>
      </c>
      <c r="G742" s="5">
        <v>103</v>
      </c>
      <c r="H742" s="5" t="s">
        <v>13</v>
      </c>
      <c r="I742" s="10" t="s">
        <v>755</v>
      </c>
      <c r="J742" s="4"/>
      <c r="K742" s="12">
        <f t="shared" ref="K742:K773" si="1106">(C743-C742)*1000</f>
        <v>166.21240000000003</v>
      </c>
      <c r="L742" s="4"/>
      <c r="M742" s="12">
        <f t="shared" ref="M742:M773" si="1107">K742-$L$2</f>
        <v>52.597973500000023</v>
      </c>
      <c r="N742" s="12">
        <f t="shared" ref="N742" si="1108">M742^2</f>
        <v>2766.5468163067048</v>
      </c>
      <c r="O742" s="4"/>
      <c r="P742" s="4"/>
      <c r="Q742" s="4"/>
      <c r="R742" s="4"/>
      <c r="S742" s="4"/>
      <c r="T742" s="4"/>
      <c r="U742" s="4"/>
    </row>
    <row r="743" spans="1:21" ht="15.75" thickBot="1" x14ac:dyDescent="0.3">
      <c r="A743" s="9"/>
      <c r="B743" s="6">
        <v>266</v>
      </c>
      <c r="C743" s="13" t="s">
        <v>1548</v>
      </c>
      <c r="D743" s="6" t="s">
        <v>10</v>
      </c>
      <c r="E743" s="6" t="s">
        <v>11</v>
      </c>
      <c r="F743" s="6" t="s">
        <v>15</v>
      </c>
      <c r="G743" s="6">
        <v>164</v>
      </c>
      <c r="H743" s="6" t="s">
        <v>16</v>
      </c>
      <c r="I743" s="11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</row>
    <row r="744" spans="1:21" ht="15.75" thickBot="1" x14ac:dyDescent="0.3">
      <c r="A744" s="8" t="s">
        <v>756</v>
      </c>
      <c r="B744" s="5">
        <v>231</v>
      </c>
      <c r="C744" s="14" t="s">
        <v>1549</v>
      </c>
      <c r="D744" s="5" t="s">
        <v>10</v>
      </c>
      <c r="E744" s="5" t="s">
        <v>11</v>
      </c>
      <c r="F744" s="5" t="s">
        <v>12</v>
      </c>
      <c r="G744" s="5">
        <v>103</v>
      </c>
      <c r="H744" s="5" t="s">
        <v>13</v>
      </c>
      <c r="I744" s="10" t="s">
        <v>757</v>
      </c>
      <c r="J744" s="4"/>
      <c r="K744" s="12">
        <f t="shared" ref="K744:K775" si="1109">(C745-C744)*1000</f>
        <v>152.8623</v>
      </c>
      <c r="L744" s="4"/>
      <c r="M744" s="12">
        <f t="shared" ref="M744:M775" si="1110">K744-$L$2</f>
        <v>39.247873499999997</v>
      </c>
      <c r="N744" s="12">
        <f t="shared" ref="N744" si="1111">M744^2</f>
        <v>1540.395574272002</v>
      </c>
      <c r="O744" s="4"/>
      <c r="P744" s="4"/>
      <c r="Q744" s="4"/>
      <c r="R744" s="4"/>
      <c r="S744" s="4"/>
      <c r="T744" s="4"/>
      <c r="U744" s="4"/>
    </row>
    <row r="745" spans="1:21" ht="15.75" thickBot="1" x14ac:dyDescent="0.3">
      <c r="A745" s="9"/>
      <c r="B745" s="6">
        <v>266</v>
      </c>
      <c r="C745" s="13" t="s">
        <v>1550</v>
      </c>
      <c r="D745" s="6" t="s">
        <v>10</v>
      </c>
      <c r="E745" s="6" t="s">
        <v>11</v>
      </c>
      <c r="F745" s="6" t="s">
        <v>15</v>
      </c>
      <c r="G745" s="6">
        <v>164</v>
      </c>
      <c r="H745" s="6" t="s">
        <v>16</v>
      </c>
      <c r="I745" s="11"/>
      <c r="J745" s="4"/>
      <c r="K745" s="12"/>
      <c r="L745" s="4"/>
      <c r="M745" s="4"/>
      <c r="N745" s="4"/>
      <c r="O745" s="4"/>
      <c r="P745" s="4"/>
      <c r="Q745" s="4"/>
      <c r="R745" s="4"/>
      <c r="S745" s="4"/>
      <c r="T745" s="4"/>
      <c r="U745" s="4"/>
    </row>
    <row r="746" spans="1:21" ht="15.75" thickBot="1" x14ac:dyDescent="0.3">
      <c r="A746" s="8" t="s">
        <v>758</v>
      </c>
      <c r="B746" s="5">
        <v>228</v>
      </c>
      <c r="C746" s="14" t="s">
        <v>1551</v>
      </c>
      <c r="D746" s="5" t="s">
        <v>10</v>
      </c>
      <c r="E746" s="5" t="s">
        <v>11</v>
      </c>
      <c r="F746" s="5" t="s">
        <v>12</v>
      </c>
      <c r="G746" s="5">
        <v>103</v>
      </c>
      <c r="H746" s="5" t="s">
        <v>13</v>
      </c>
      <c r="I746" s="10" t="s">
        <v>759</v>
      </c>
      <c r="J746" s="4"/>
      <c r="K746" s="12">
        <f t="shared" ref="K746:K777" si="1112">(C747-C746)*1000</f>
        <v>58.786999999999921</v>
      </c>
      <c r="L746" s="4"/>
      <c r="M746" s="12">
        <f t="shared" ref="M746:M777" si="1113">K746-$L$2</f>
        <v>-54.827426500000087</v>
      </c>
      <c r="N746" s="12">
        <f t="shared" ref="N746" si="1114">M746^2</f>
        <v>3006.0466966129115</v>
      </c>
      <c r="O746" s="4"/>
      <c r="P746" s="4"/>
      <c r="Q746" s="4"/>
      <c r="R746" s="4"/>
      <c r="S746" s="4"/>
      <c r="T746" s="4"/>
      <c r="U746" s="4"/>
    </row>
    <row r="747" spans="1:21" ht="15.75" thickBot="1" x14ac:dyDescent="0.3">
      <c r="A747" s="9"/>
      <c r="B747" s="6">
        <v>242</v>
      </c>
      <c r="C747" s="13" t="s">
        <v>1552</v>
      </c>
      <c r="D747" s="6" t="s">
        <v>10</v>
      </c>
      <c r="E747" s="6" t="s">
        <v>11</v>
      </c>
      <c r="F747" s="6" t="s">
        <v>15</v>
      </c>
      <c r="G747" s="6">
        <v>164</v>
      </c>
      <c r="H747" s="6" t="s">
        <v>16</v>
      </c>
      <c r="I747" s="11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</row>
    <row r="748" spans="1:21" ht="15.75" thickBot="1" x14ac:dyDescent="0.3">
      <c r="A748" s="8" t="s">
        <v>760</v>
      </c>
      <c r="B748" s="5">
        <v>200</v>
      </c>
      <c r="C748" s="14" t="s">
        <v>1553</v>
      </c>
      <c r="D748" s="5" t="s">
        <v>10</v>
      </c>
      <c r="E748" s="5" t="s">
        <v>11</v>
      </c>
      <c r="F748" s="5" t="s">
        <v>12</v>
      </c>
      <c r="G748" s="5">
        <v>103</v>
      </c>
      <c r="H748" s="5" t="s">
        <v>13</v>
      </c>
      <c r="I748" s="10" t="s">
        <v>761</v>
      </c>
      <c r="J748" s="4"/>
      <c r="K748" s="12">
        <f t="shared" ref="K748:K779" si="1115">(C749-C748)*1000</f>
        <v>48.234800000000135</v>
      </c>
      <c r="L748" s="4"/>
      <c r="M748" s="12">
        <f t="shared" ref="M748:M779" si="1116">K748-$L$2</f>
        <v>-65.379626499999873</v>
      </c>
      <c r="N748" s="12">
        <f t="shared" ref="N748" si="1117">M748^2</f>
        <v>4274.4955612794856</v>
      </c>
      <c r="O748" s="4"/>
      <c r="P748" s="4"/>
      <c r="Q748" s="4"/>
      <c r="R748" s="4"/>
      <c r="S748" s="4"/>
      <c r="T748" s="4"/>
      <c r="U748" s="4"/>
    </row>
    <row r="749" spans="1:21" ht="15.75" thickBot="1" x14ac:dyDescent="0.3">
      <c r="A749" s="9"/>
      <c r="B749" s="6">
        <v>213</v>
      </c>
      <c r="C749" s="13" t="s">
        <v>1554</v>
      </c>
      <c r="D749" s="6" t="s">
        <v>10</v>
      </c>
      <c r="E749" s="6" t="s">
        <v>11</v>
      </c>
      <c r="F749" s="6" t="s">
        <v>15</v>
      </c>
      <c r="G749" s="6">
        <v>164</v>
      </c>
      <c r="H749" s="6" t="s">
        <v>16</v>
      </c>
      <c r="I749" s="11"/>
      <c r="J749" s="4"/>
      <c r="K749" s="12"/>
      <c r="L749" s="4"/>
      <c r="M749" s="4"/>
      <c r="N749" s="4"/>
      <c r="O749" s="4"/>
      <c r="P749" s="4"/>
      <c r="Q749" s="4"/>
      <c r="R749" s="4"/>
      <c r="S749" s="4"/>
      <c r="T749" s="4"/>
      <c r="U749" s="4"/>
    </row>
    <row r="750" spans="1:21" ht="15.75" thickBot="1" x14ac:dyDescent="0.3">
      <c r="A750" s="8" t="s">
        <v>762</v>
      </c>
      <c r="B750" s="5">
        <v>294</v>
      </c>
      <c r="C750" s="14" t="s">
        <v>1555</v>
      </c>
      <c r="D750" s="5" t="s">
        <v>10</v>
      </c>
      <c r="E750" s="5" t="s">
        <v>11</v>
      </c>
      <c r="F750" s="5" t="s">
        <v>12</v>
      </c>
      <c r="G750" s="5">
        <v>103</v>
      </c>
      <c r="H750" s="5" t="s">
        <v>13</v>
      </c>
      <c r="I750" s="10" t="s">
        <v>763</v>
      </c>
      <c r="J750" s="4"/>
      <c r="K750" s="12">
        <f t="shared" ref="K750:K781" si="1118">(C751-C750)*1000</f>
        <v>98.094200000000015</v>
      </c>
      <c r="L750" s="4"/>
      <c r="M750" s="12">
        <f t="shared" ref="M750:M781" si="1119">K750-$L$2</f>
        <v>-15.520226499999993</v>
      </c>
      <c r="N750" s="12">
        <f t="shared" ref="N750" si="1120">M750^2</f>
        <v>240.87743061130203</v>
      </c>
      <c r="O750" s="4"/>
      <c r="P750" s="4"/>
      <c r="Q750" s="4"/>
      <c r="R750" s="4"/>
      <c r="S750" s="4"/>
      <c r="T750" s="4"/>
      <c r="U750" s="4"/>
    </row>
    <row r="751" spans="1:21" ht="15.75" thickBot="1" x14ac:dyDescent="0.3">
      <c r="A751" s="9"/>
      <c r="B751" s="6">
        <v>321</v>
      </c>
      <c r="C751" s="13" t="s">
        <v>1556</v>
      </c>
      <c r="D751" s="6" t="s">
        <v>10</v>
      </c>
      <c r="E751" s="6" t="s">
        <v>11</v>
      </c>
      <c r="F751" s="6" t="s">
        <v>15</v>
      </c>
      <c r="G751" s="6">
        <v>164</v>
      </c>
      <c r="H751" s="6" t="s">
        <v>16</v>
      </c>
      <c r="I751" s="11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</row>
    <row r="752" spans="1:21" ht="15.75" thickBot="1" x14ac:dyDescent="0.3">
      <c r="A752" s="8" t="s">
        <v>764</v>
      </c>
      <c r="B752" s="5">
        <v>247</v>
      </c>
      <c r="C752" s="14" t="s">
        <v>1557</v>
      </c>
      <c r="D752" s="5" t="s">
        <v>10</v>
      </c>
      <c r="E752" s="5" t="s">
        <v>11</v>
      </c>
      <c r="F752" s="5" t="s">
        <v>12</v>
      </c>
      <c r="G752" s="5">
        <v>103</v>
      </c>
      <c r="H752" s="5" t="s">
        <v>13</v>
      </c>
      <c r="I752" s="10" t="s">
        <v>765</v>
      </c>
      <c r="J752" s="4"/>
      <c r="K752" s="12">
        <f t="shared" ref="K752:K783" si="1121">(C753-C752)*1000</f>
        <v>82.098400000000012</v>
      </c>
      <c r="L752" s="4"/>
      <c r="M752" s="12">
        <f t="shared" ref="M752:M783" si="1122">K752-$L$2</f>
        <v>-31.516026499999995</v>
      </c>
      <c r="N752" s="12">
        <f t="shared" ref="N752" si="1123">M752^2</f>
        <v>993.25992634870192</v>
      </c>
      <c r="O752" s="4"/>
      <c r="P752" s="4"/>
      <c r="Q752" s="4"/>
      <c r="R752" s="4"/>
      <c r="S752" s="4"/>
      <c r="T752" s="4"/>
      <c r="U752" s="4"/>
    </row>
    <row r="753" spans="1:21" ht="15.75" thickBot="1" x14ac:dyDescent="0.3">
      <c r="A753" s="9"/>
      <c r="B753" s="6">
        <v>270</v>
      </c>
      <c r="C753" s="13" t="s">
        <v>1558</v>
      </c>
      <c r="D753" s="6" t="s">
        <v>10</v>
      </c>
      <c r="E753" s="6" t="s">
        <v>11</v>
      </c>
      <c r="F753" s="6" t="s">
        <v>15</v>
      </c>
      <c r="G753" s="6">
        <v>164</v>
      </c>
      <c r="H753" s="6" t="s">
        <v>16</v>
      </c>
      <c r="I753" s="11"/>
      <c r="J753" s="4"/>
      <c r="K753" s="12"/>
      <c r="L753" s="4"/>
      <c r="M753" s="4"/>
      <c r="N753" s="4"/>
      <c r="O753" s="4"/>
      <c r="P753" s="4"/>
      <c r="Q753" s="4"/>
      <c r="R753" s="4"/>
      <c r="S753" s="4"/>
      <c r="T753" s="4"/>
      <c r="U753" s="4"/>
    </row>
    <row r="754" spans="1:21" ht="15.75" thickBot="1" x14ac:dyDescent="0.3">
      <c r="A754" s="8" t="s">
        <v>766</v>
      </c>
      <c r="B754" s="5">
        <v>238</v>
      </c>
      <c r="C754" s="14" t="s">
        <v>1559</v>
      </c>
      <c r="D754" s="5" t="s">
        <v>10</v>
      </c>
      <c r="E754" s="5" t="s">
        <v>11</v>
      </c>
      <c r="F754" s="5" t="s">
        <v>12</v>
      </c>
      <c r="G754" s="5">
        <v>103</v>
      </c>
      <c r="H754" s="5" t="s">
        <v>13</v>
      </c>
      <c r="I754" s="10" t="s">
        <v>767</v>
      </c>
      <c r="J754" s="4"/>
      <c r="K754" s="12">
        <f t="shared" ref="K754:K801" si="1124">(C755-C754)*1000</f>
        <v>50.590399999999924</v>
      </c>
      <c r="L754" s="4"/>
      <c r="M754" s="12">
        <f t="shared" ref="M754:M801" si="1125">K754-$L$2</f>
        <v>-63.024026500000083</v>
      </c>
      <c r="N754" s="12">
        <f t="shared" ref="N754" si="1126">M754^2</f>
        <v>3972.0279162727129</v>
      </c>
      <c r="O754" s="4"/>
      <c r="P754" s="4"/>
      <c r="Q754" s="4"/>
      <c r="R754" s="4"/>
      <c r="S754" s="4"/>
      <c r="T754" s="4"/>
      <c r="U754" s="4"/>
    </row>
    <row r="755" spans="1:21" ht="15.75" thickBot="1" x14ac:dyDescent="0.3">
      <c r="A755" s="9"/>
      <c r="B755" s="6">
        <v>249</v>
      </c>
      <c r="C755" s="13" t="s">
        <v>1560</v>
      </c>
      <c r="D755" s="6" t="s">
        <v>10</v>
      </c>
      <c r="E755" s="6" t="s">
        <v>11</v>
      </c>
      <c r="F755" s="6" t="s">
        <v>15</v>
      </c>
      <c r="G755" s="6">
        <v>164</v>
      </c>
      <c r="H755" s="6" t="s">
        <v>16</v>
      </c>
      <c r="I755" s="11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</row>
    <row r="756" spans="1:21" ht="15.75" thickBot="1" x14ac:dyDescent="0.3">
      <c r="A756" s="8" t="s">
        <v>768</v>
      </c>
      <c r="B756" s="5">
        <v>209</v>
      </c>
      <c r="C756" s="14" t="s">
        <v>1561</v>
      </c>
      <c r="D756" s="5" t="s">
        <v>10</v>
      </c>
      <c r="E756" s="5" t="s">
        <v>11</v>
      </c>
      <c r="F756" s="5" t="s">
        <v>12</v>
      </c>
      <c r="G756" s="5">
        <v>103</v>
      </c>
      <c r="H756" s="5" t="s">
        <v>13</v>
      </c>
      <c r="I756" s="10" t="s">
        <v>769</v>
      </c>
      <c r="J756" s="4"/>
      <c r="K756" s="12">
        <f t="shared" ref="K756:K801" si="1127">(C757-C756)*1000</f>
        <v>100.47260000000003</v>
      </c>
      <c r="L756" s="4"/>
      <c r="M756" s="12">
        <f t="shared" ref="M756:M801" si="1128">K756-$L$2</f>
        <v>-13.141826499999979</v>
      </c>
      <c r="N756" s="12">
        <f t="shared" ref="N756" si="1129">M756^2</f>
        <v>172.70760375610169</v>
      </c>
      <c r="O756" s="4"/>
      <c r="P756" s="4"/>
      <c r="Q756" s="4"/>
      <c r="R756" s="4"/>
      <c r="S756" s="4"/>
      <c r="T756" s="4"/>
      <c r="U756" s="4"/>
    </row>
    <row r="757" spans="1:21" ht="15.75" thickBot="1" x14ac:dyDescent="0.3">
      <c r="A757" s="9"/>
      <c r="B757" s="6">
        <v>235</v>
      </c>
      <c r="C757" s="13" t="s">
        <v>1562</v>
      </c>
      <c r="D757" s="6" t="s">
        <v>10</v>
      </c>
      <c r="E757" s="6" t="s">
        <v>11</v>
      </c>
      <c r="F757" s="6" t="s">
        <v>15</v>
      </c>
      <c r="G757" s="6">
        <v>164</v>
      </c>
      <c r="H757" s="6" t="s">
        <v>16</v>
      </c>
      <c r="I757" s="11"/>
      <c r="J757" s="4"/>
      <c r="K757" s="12"/>
      <c r="L757" s="4"/>
      <c r="M757" s="4"/>
      <c r="N757" s="4"/>
      <c r="O757" s="4"/>
      <c r="P757" s="4"/>
      <c r="Q757" s="4"/>
      <c r="R757" s="4"/>
      <c r="S757" s="4"/>
      <c r="T757" s="4"/>
      <c r="U757" s="4"/>
    </row>
    <row r="758" spans="1:21" ht="15.75" thickBot="1" x14ac:dyDescent="0.3">
      <c r="A758" s="8" t="s">
        <v>770</v>
      </c>
      <c r="B758" s="5">
        <v>252</v>
      </c>
      <c r="C758" s="14" t="s">
        <v>1563</v>
      </c>
      <c r="D758" s="5" t="s">
        <v>10</v>
      </c>
      <c r="E758" s="5" t="s">
        <v>11</v>
      </c>
      <c r="F758" s="5" t="s">
        <v>12</v>
      </c>
      <c r="G758" s="5">
        <v>103</v>
      </c>
      <c r="H758" s="5" t="s">
        <v>13</v>
      </c>
      <c r="I758" s="10" t="s">
        <v>771</v>
      </c>
      <c r="J758" s="4"/>
      <c r="K758" s="12">
        <f t="shared" ref="K758:K801" si="1130">(C759-C758)*1000</f>
        <v>61.523700000000183</v>
      </c>
      <c r="L758" s="4"/>
      <c r="M758" s="12">
        <f t="shared" ref="M758:M801" si="1131">K758-$L$2</f>
        <v>-52.090726499999825</v>
      </c>
      <c r="N758" s="12">
        <f t="shared" ref="N758" si="1132">M758^2</f>
        <v>2713.4437872977842</v>
      </c>
      <c r="O758" s="4"/>
      <c r="P758" s="4"/>
      <c r="Q758" s="4"/>
      <c r="R758" s="4"/>
      <c r="S758" s="4"/>
      <c r="T758" s="4"/>
      <c r="U758" s="4"/>
    </row>
    <row r="759" spans="1:21" ht="15.75" thickBot="1" x14ac:dyDescent="0.3">
      <c r="A759" s="9"/>
      <c r="B759" s="6">
        <v>273</v>
      </c>
      <c r="C759" s="13" t="s">
        <v>1564</v>
      </c>
      <c r="D759" s="6" t="s">
        <v>10</v>
      </c>
      <c r="E759" s="6" t="s">
        <v>11</v>
      </c>
      <c r="F759" s="6" t="s">
        <v>15</v>
      </c>
      <c r="G759" s="6">
        <v>164</v>
      </c>
      <c r="H759" s="6" t="s">
        <v>16</v>
      </c>
      <c r="I759" s="11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</row>
    <row r="760" spans="1:21" ht="15.75" thickBot="1" x14ac:dyDescent="0.3">
      <c r="A760" s="8" t="s">
        <v>772</v>
      </c>
      <c r="B760" s="5">
        <v>234</v>
      </c>
      <c r="C760" s="14" t="s">
        <v>1565</v>
      </c>
      <c r="D760" s="5" t="s">
        <v>10</v>
      </c>
      <c r="E760" s="5" t="s">
        <v>11</v>
      </c>
      <c r="F760" s="5" t="s">
        <v>12</v>
      </c>
      <c r="G760" s="5">
        <v>103</v>
      </c>
      <c r="H760" s="5" t="s">
        <v>13</v>
      </c>
      <c r="I760" s="10" t="s">
        <v>773</v>
      </c>
      <c r="J760" s="4"/>
      <c r="K760" s="12">
        <f t="shared" ref="K760:K801" si="1133">(C761-C760)*1000</f>
        <v>91.979799999999841</v>
      </c>
      <c r="L760" s="4"/>
      <c r="M760" s="12">
        <f t="shared" ref="M760:M801" si="1134">K760-$L$2</f>
        <v>-21.634626500000167</v>
      </c>
      <c r="N760" s="12">
        <f t="shared" ref="N760" si="1135">M760^2</f>
        <v>468.05706379450947</v>
      </c>
      <c r="O760" s="4"/>
      <c r="P760" s="4"/>
      <c r="Q760" s="4"/>
      <c r="R760" s="4"/>
      <c r="S760" s="4"/>
      <c r="T760" s="4"/>
      <c r="U760" s="4"/>
    </row>
    <row r="761" spans="1:21" ht="15.75" thickBot="1" x14ac:dyDescent="0.3">
      <c r="A761" s="9"/>
      <c r="B761" s="6">
        <v>252</v>
      </c>
      <c r="C761" s="13" t="s">
        <v>1566</v>
      </c>
      <c r="D761" s="6" t="s">
        <v>10</v>
      </c>
      <c r="E761" s="6" t="s">
        <v>11</v>
      </c>
      <c r="F761" s="6" t="s">
        <v>15</v>
      </c>
      <c r="G761" s="6">
        <v>164</v>
      </c>
      <c r="H761" s="6" t="s">
        <v>16</v>
      </c>
      <c r="I761" s="11"/>
      <c r="J761" s="4"/>
      <c r="K761" s="12"/>
      <c r="L761" s="4"/>
      <c r="M761" s="4"/>
      <c r="N761" s="4"/>
      <c r="O761" s="4"/>
      <c r="P761" s="4"/>
      <c r="Q761" s="4"/>
      <c r="R761" s="4"/>
      <c r="S761" s="4"/>
      <c r="T761" s="4"/>
      <c r="U761" s="4"/>
    </row>
    <row r="762" spans="1:21" ht="15.75" thickBot="1" x14ac:dyDescent="0.3">
      <c r="A762" s="8" t="s">
        <v>774</v>
      </c>
      <c r="B762" s="5">
        <v>237</v>
      </c>
      <c r="C762" s="14" t="s">
        <v>1567</v>
      </c>
      <c r="D762" s="5" t="s">
        <v>10</v>
      </c>
      <c r="E762" s="5" t="s">
        <v>11</v>
      </c>
      <c r="F762" s="5" t="s">
        <v>12</v>
      </c>
      <c r="G762" s="5">
        <v>103</v>
      </c>
      <c r="H762" s="5" t="s">
        <v>13</v>
      </c>
      <c r="I762" s="10" t="s">
        <v>775</v>
      </c>
      <c r="J762" s="4"/>
      <c r="K762" s="12">
        <f t="shared" ref="K762:K801" si="1136">(C763-C762)*1000</f>
        <v>163.31139999999999</v>
      </c>
      <c r="L762" s="4"/>
      <c r="M762" s="12">
        <f t="shared" ref="M762:M801" si="1137">K762-$L$2</f>
        <v>49.696973499999984</v>
      </c>
      <c r="N762" s="12">
        <f t="shared" ref="N762" si="1138">M762^2</f>
        <v>2469.7891750597005</v>
      </c>
      <c r="O762" s="4"/>
      <c r="P762" s="4"/>
      <c r="Q762" s="4"/>
      <c r="R762" s="4"/>
      <c r="S762" s="4"/>
      <c r="T762" s="4"/>
      <c r="U762" s="4"/>
    </row>
    <row r="763" spans="1:21" ht="15.75" thickBot="1" x14ac:dyDescent="0.3">
      <c r="A763" s="9"/>
      <c r="B763" s="6">
        <v>276</v>
      </c>
      <c r="C763" s="13" t="s">
        <v>1568</v>
      </c>
      <c r="D763" s="6" t="s">
        <v>10</v>
      </c>
      <c r="E763" s="6" t="s">
        <v>11</v>
      </c>
      <c r="F763" s="6" t="s">
        <v>15</v>
      </c>
      <c r="G763" s="6">
        <v>164</v>
      </c>
      <c r="H763" s="6" t="s">
        <v>16</v>
      </c>
      <c r="I763" s="11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</row>
    <row r="764" spans="1:21" ht="15.75" thickBot="1" x14ac:dyDescent="0.3">
      <c r="A764" s="8" t="s">
        <v>776</v>
      </c>
      <c r="B764" s="5">
        <v>222</v>
      </c>
      <c r="C764" s="14" t="s">
        <v>1569</v>
      </c>
      <c r="D764" s="5" t="s">
        <v>10</v>
      </c>
      <c r="E764" s="5" t="s">
        <v>11</v>
      </c>
      <c r="F764" s="5" t="s">
        <v>12</v>
      </c>
      <c r="G764" s="5">
        <v>103</v>
      </c>
      <c r="H764" s="5" t="s">
        <v>13</v>
      </c>
      <c r="I764" s="10" t="s">
        <v>777</v>
      </c>
      <c r="J764" s="4"/>
      <c r="K764" s="12">
        <f t="shared" ref="K764:K801" si="1139">(C765-C764)*1000</f>
        <v>126.62269999999998</v>
      </c>
      <c r="L764" s="4"/>
      <c r="M764" s="12">
        <f t="shared" ref="M764:M801" si="1140">K764-$L$2</f>
        <v>13.008273499999973</v>
      </c>
      <c r="N764" s="12">
        <f t="shared" ref="N764" si="1141">M764^2</f>
        <v>169.21517945080154</v>
      </c>
      <c r="O764" s="4"/>
      <c r="P764" s="4"/>
      <c r="Q764" s="4"/>
      <c r="R764" s="4"/>
      <c r="S764" s="4"/>
      <c r="T764" s="4"/>
      <c r="U764" s="4"/>
    </row>
    <row r="765" spans="1:21" ht="15.75" thickBot="1" x14ac:dyDescent="0.3">
      <c r="A765" s="9"/>
      <c r="B765" s="6">
        <v>249</v>
      </c>
      <c r="C765" s="13" t="s">
        <v>1570</v>
      </c>
      <c r="D765" s="6" t="s">
        <v>10</v>
      </c>
      <c r="E765" s="6" t="s">
        <v>11</v>
      </c>
      <c r="F765" s="6" t="s">
        <v>15</v>
      </c>
      <c r="G765" s="6">
        <v>164</v>
      </c>
      <c r="H765" s="6" t="s">
        <v>16</v>
      </c>
      <c r="I765" s="11"/>
      <c r="J765" s="4"/>
      <c r="K765" s="12"/>
      <c r="L765" s="4"/>
      <c r="M765" s="4"/>
      <c r="N765" s="4"/>
      <c r="O765" s="4"/>
      <c r="P765" s="4"/>
      <c r="Q765" s="4"/>
      <c r="R765" s="4"/>
      <c r="S765" s="4"/>
      <c r="T765" s="4"/>
      <c r="U765" s="4"/>
    </row>
    <row r="766" spans="1:21" ht="15.75" thickBot="1" x14ac:dyDescent="0.3">
      <c r="A766" s="8" t="s">
        <v>778</v>
      </c>
      <c r="B766" s="5">
        <v>304</v>
      </c>
      <c r="C766" s="14" t="s">
        <v>1571</v>
      </c>
      <c r="D766" s="5" t="s">
        <v>10</v>
      </c>
      <c r="E766" s="5" t="s">
        <v>11</v>
      </c>
      <c r="F766" s="5" t="s">
        <v>12</v>
      </c>
      <c r="G766" s="5">
        <v>103</v>
      </c>
      <c r="H766" s="5" t="s">
        <v>13</v>
      </c>
      <c r="I766" s="10" t="s">
        <v>779</v>
      </c>
      <c r="J766" s="4"/>
      <c r="K766" s="12">
        <f t="shared" ref="K766:K801" si="1142">(C767-C766)*1000</f>
        <v>145.1572000000001</v>
      </c>
      <c r="L766" s="4"/>
      <c r="M766" s="12">
        <f t="shared" ref="M766:M801" si="1143">K766-$L$2</f>
        <v>31.542773500000095</v>
      </c>
      <c r="N766" s="12">
        <f t="shared" ref="N766" si="1144">M766^2</f>
        <v>994.94656007230822</v>
      </c>
      <c r="O766" s="4"/>
      <c r="P766" s="4"/>
      <c r="Q766" s="4"/>
      <c r="R766" s="4"/>
      <c r="S766" s="4"/>
      <c r="T766" s="4"/>
      <c r="U766" s="4"/>
    </row>
    <row r="767" spans="1:21" ht="15.75" thickBot="1" x14ac:dyDescent="0.3">
      <c r="A767" s="9"/>
      <c r="B767" s="6">
        <v>343</v>
      </c>
      <c r="C767" s="13" t="s">
        <v>1572</v>
      </c>
      <c r="D767" s="6" t="s">
        <v>10</v>
      </c>
      <c r="E767" s="6" t="s">
        <v>11</v>
      </c>
      <c r="F767" s="6" t="s">
        <v>15</v>
      </c>
      <c r="G767" s="6">
        <v>164</v>
      </c>
      <c r="H767" s="6" t="s">
        <v>16</v>
      </c>
      <c r="I767" s="11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</row>
    <row r="768" spans="1:21" ht="15.75" thickBot="1" x14ac:dyDescent="0.3">
      <c r="A768" s="8" t="s">
        <v>780</v>
      </c>
      <c r="B768" s="5">
        <v>250</v>
      </c>
      <c r="C768" s="14" t="s">
        <v>1573</v>
      </c>
      <c r="D768" s="5" t="s">
        <v>10</v>
      </c>
      <c r="E768" s="5" t="s">
        <v>11</v>
      </c>
      <c r="F768" s="5" t="s">
        <v>12</v>
      </c>
      <c r="G768" s="5">
        <v>103</v>
      </c>
      <c r="H768" s="5" t="s">
        <v>13</v>
      </c>
      <c r="I768" s="10" t="s">
        <v>781</v>
      </c>
      <c r="J768" s="4"/>
      <c r="K768" s="12">
        <f t="shared" ref="K768:K801" si="1145">(C769-C768)*1000</f>
        <v>75.2119</v>
      </c>
      <c r="L768" s="4"/>
      <c r="M768" s="12">
        <f t="shared" ref="M768:M801" si="1146">K768-$L$2</f>
        <v>-38.402526500000008</v>
      </c>
      <c r="N768" s="12">
        <f t="shared" ref="N768" si="1147">M768^2</f>
        <v>1474.7540415832029</v>
      </c>
      <c r="O768" s="4"/>
      <c r="P768" s="4"/>
      <c r="Q768" s="4"/>
      <c r="R768" s="4"/>
      <c r="S768" s="4"/>
      <c r="T768" s="4"/>
      <c r="U768" s="4"/>
    </row>
    <row r="769" spans="1:21" ht="15.75" thickBot="1" x14ac:dyDescent="0.3">
      <c r="A769" s="9"/>
      <c r="B769" s="6">
        <v>269</v>
      </c>
      <c r="C769" s="13" t="s">
        <v>1574</v>
      </c>
      <c r="D769" s="6" t="s">
        <v>10</v>
      </c>
      <c r="E769" s="6" t="s">
        <v>11</v>
      </c>
      <c r="F769" s="6" t="s">
        <v>15</v>
      </c>
      <c r="G769" s="6">
        <v>164</v>
      </c>
      <c r="H769" s="6" t="s">
        <v>16</v>
      </c>
      <c r="I769" s="11"/>
      <c r="J769" s="4"/>
      <c r="K769" s="12"/>
      <c r="L769" s="4"/>
      <c r="M769" s="4"/>
      <c r="N769" s="4"/>
      <c r="O769" s="4"/>
      <c r="P769" s="4"/>
      <c r="Q769" s="4"/>
      <c r="R769" s="4"/>
      <c r="S769" s="4"/>
      <c r="T769" s="4"/>
      <c r="U769" s="4"/>
    </row>
    <row r="770" spans="1:21" ht="15.75" thickBot="1" x14ac:dyDescent="0.3">
      <c r="A770" s="8" t="s">
        <v>782</v>
      </c>
      <c r="B770" s="5">
        <v>262</v>
      </c>
      <c r="C770" s="14" t="s">
        <v>1575</v>
      </c>
      <c r="D770" s="5" t="s">
        <v>10</v>
      </c>
      <c r="E770" s="5" t="s">
        <v>11</v>
      </c>
      <c r="F770" s="5" t="s">
        <v>12</v>
      </c>
      <c r="G770" s="5">
        <v>103</v>
      </c>
      <c r="H770" s="5" t="s">
        <v>13</v>
      </c>
      <c r="I770" s="10" t="s">
        <v>783</v>
      </c>
      <c r="J770" s="4"/>
      <c r="K770" s="12">
        <f t="shared" ref="K770:K801" si="1148">(C771-C770)*1000</f>
        <v>89.349599999999811</v>
      </c>
      <c r="L770" s="4"/>
      <c r="M770" s="12">
        <f t="shared" ref="M770:M801" si="1149">K770-$L$2</f>
        <v>-24.264826500000197</v>
      </c>
      <c r="N770" s="12">
        <f t="shared" ref="N770" si="1150">M770^2</f>
        <v>588.78180507511183</v>
      </c>
      <c r="O770" s="4"/>
      <c r="P770" s="4"/>
      <c r="Q770" s="4"/>
      <c r="R770" s="4"/>
      <c r="S770" s="4"/>
      <c r="T770" s="4"/>
      <c r="U770" s="4"/>
    </row>
    <row r="771" spans="1:21" ht="15.75" thickBot="1" x14ac:dyDescent="0.3">
      <c r="A771" s="9"/>
      <c r="B771" s="6">
        <v>285</v>
      </c>
      <c r="C771" s="13" t="s">
        <v>1576</v>
      </c>
      <c r="D771" s="6" t="s">
        <v>10</v>
      </c>
      <c r="E771" s="6" t="s">
        <v>11</v>
      </c>
      <c r="F771" s="6" t="s">
        <v>15</v>
      </c>
      <c r="G771" s="6">
        <v>164</v>
      </c>
      <c r="H771" s="6" t="s">
        <v>16</v>
      </c>
      <c r="I771" s="11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</row>
    <row r="772" spans="1:21" ht="15.75" thickBot="1" x14ac:dyDescent="0.3">
      <c r="A772" s="8" t="s">
        <v>784</v>
      </c>
      <c r="B772" s="5">
        <v>249</v>
      </c>
      <c r="C772" s="14" t="s">
        <v>1577</v>
      </c>
      <c r="D772" s="5" t="s">
        <v>10</v>
      </c>
      <c r="E772" s="5" t="s">
        <v>11</v>
      </c>
      <c r="F772" s="5" t="s">
        <v>12</v>
      </c>
      <c r="G772" s="5">
        <v>103</v>
      </c>
      <c r="H772" s="5" t="s">
        <v>13</v>
      </c>
      <c r="I772" s="10" t="s">
        <v>785</v>
      </c>
      <c r="J772" s="4"/>
      <c r="K772" s="12">
        <f t="shared" ref="K772:K801" si="1151">(C773-C772)*1000</f>
        <v>103.5956</v>
      </c>
      <c r="L772" s="4"/>
      <c r="M772" s="12">
        <f t="shared" ref="M772:M801" si="1152">K772-$L$2</f>
        <v>-10.018826500000003</v>
      </c>
      <c r="N772" s="12">
        <f t="shared" ref="N772" si="1153">M772^2</f>
        <v>100.37688443710231</v>
      </c>
      <c r="O772" s="4"/>
      <c r="P772" s="4"/>
      <c r="Q772" s="4"/>
      <c r="R772" s="4"/>
      <c r="S772" s="4"/>
      <c r="T772" s="4"/>
      <c r="U772" s="4"/>
    </row>
    <row r="773" spans="1:21" ht="15.75" thickBot="1" x14ac:dyDescent="0.3">
      <c r="A773" s="9"/>
      <c r="B773" s="6">
        <v>277</v>
      </c>
      <c r="C773" s="13" t="s">
        <v>1578</v>
      </c>
      <c r="D773" s="6" t="s">
        <v>10</v>
      </c>
      <c r="E773" s="6" t="s">
        <v>11</v>
      </c>
      <c r="F773" s="6" t="s">
        <v>15</v>
      </c>
      <c r="G773" s="6">
        <v>164</v>
      </c>
      <c r="H773" s="6" t="s">
        <v>16</v>
      </c>
      <c r="I773" s="11"/>
      <c r="J773" s="4"/>
      <c r="K773" s="12"/>
      <c r="L773" s="4"/>
      <c r="M773" s="4"/>
      <c r="N773" s="4"/>
      <c r="O773" s="4"/>
      <c r="P773" s="4"/>
      <c r="Q773" s="4"/>
      <c r="R773" s="4"/>
      <c r="S773" s="4"/>
      <c r="T773" s="4"/>
      <c r="U773" s="4"/>
    </row>
    <row r="774" spans="1:21" ht="15.75" thickBot="1" x14ac:dyDescent="0.3">
      <c r="A774" s="8" t="s">
        <v>786</v>
      </c>
      <c r="B774" s="5">
        <v>208</v>
      </c>
      <c r="C774" s="14" t="s">
        <v>1579</v>
      </c>
      <c r="D774" s="5" t="s">
        <v>10</v>
      </c>
      <c r="E774" s="5" t="s">
        <v>11</v>
      </c>
      <c r="F774" s="5" t="s">
        <v>12</v>
      </c>
      <c r="G774" s="5">
        <v>103</v>
      </c>
      <c r="H774" s="5" t="s">
        <v>13</v>
      </c>
      <c r="I774" s="10" t="s">
        <v>787</v>
      </c>
      <c r="J774" s="4"/>
      <c r="K774" s="12">
        <f t="shared" ref="K774:K801" si="1154">(C775-C774)*1000</f>
        <v>45.637499999999996</v>
      </c>
      <c r="L774" s="4"/>
      <c r="M774" s="12">
        <f t="shared" ref="M774:M801" si="1155">K774-$L$2</f>
        <v>-67.976926500000019</v>
      </c>
      <c r="N774" s="12">
        <f t="shared" ref="N774" si="1156">M774^2</f>
        <v>4620.8625363864048</v>
      </c>
      <c r="O774" s="4"/>
      <c r="P774" s="4"/>
      <c r="Q774" s="4"/>
      <c r="R774" s="4"/>
      <c r="S774" s="4"/>
      <c r="T774" s="4"/>
      <c r="U774" s="4"/>
    </row>
    <row r="775" spans="1:21" ht="15.75" thickBot="1" x14ac:dyDescent="0.3">
      <c r="A775" s="9"/>
      <c r="B775" s="6">
        <v>222</v>
      </c>
      <c r="C775" s="13" t="s">
        <v>1580</v>
      </c>
      <c r="D775" s="6" t="s">
        <v>10</v>
      </c>
      <c r="E775" s="6" t="s">
        <v>11</v>
      </c>
      <c r="F775" s="6" t="s">
        <v>15</v>
      </c>
      <c r="G775" s="6">
        <v>164</v>
      </c>
      <c r="H775" s="6" t="s">
        <v>16</v>
      </c>
      <c r="I775" s="11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</row>
    <row r="776" spans="1:21" ht="15.75" thickBot="1" x14ac:dyDescent="0.3">
      <c r="A776" s="8" t="s">
        <v>788</v>
      </c>
      <c r="B776" s="5">
        <v>229</v>
      </c>
      <c r="C776" s="14" t="s">
        <v>1581</v>
      </c>
      <c r="D776" s="5" t="s">
        <v>10</v>
      </c>
      <c r="E776" s="5" t="s">
        <v>11</v>
      </c>
      <c r="F776" s="5" t="s">
        <v>12</v>
      </c>
      <c r="G776" s="5">
        <v>103</v>
      </c>
      <c r="H776" s="5" t="s">
        <v>13</v>
      </c>
      <c r="I776" s="10" t="s">
        <v>789</v>
      </c>
      <c r="J776" s="4"/>
      <c r="K776" s="12">
        <f t="shared" ref="K776:K801" si="1157">(C777-C776)*1000</f>
        <v>101.23150000000014</v>
      </c>
      <c r="L776" s="4"/>
      <c r="M776" s="12">
        <f t="shared" ref="M776:M801" si="1158">K776-$L$2</f>
        <v>-12.382926499999868</v>
      </c>
      <c r="N776" s="12">
        <f t="shared" ref="N776" si="1159">M776^2</f>
        <v>153.336868704399</v>
      </c>
      <c r="O776" s="4"/>
      <c r="P776" s="4"/>
      <c r="Q776" s="4"/>
      <c r="R776" s="4"/>
      <c r="S776" s="4"/>
      <c r="T776" s="4"/>
      <c r="U776" s="4"/>
    </row>
    <row r="777" spans="1:21" ht="15.75" thickBot="1" x14ac:dyDescent="0.3">
      <c r="A777" s="9"/>
      <c r="B777" s="6">
        <v>251</v>
      </c>
      <c r="C777" s="13" t="s">
        <v>1582</v>
      </c>
      <c r="D777" s="6" t="s">
        <v>10</v>
      </c>
      <c r="E777" s="6" t="s">
        <v>11</v>
      </c>
      <c r="F777" s="6" t="s">
        <v>15</v>
      </c>
      <c r="G777" s="6">
        <v>164</v>
      </c>
      <c r="H777" s="6" t="s">
        <v>16</v>
      </c>
      <c r="I777" s="11"/>
      <c r="J777" s="4"/>
      <c r="K777" s="12"/>
      <c r="L777" s="4"/>
      <c r="M777" s="4"/>
      <c r="N777" s="4"/>
      <c r="O777" s="4"/>
      <c r="P777" s="4"/>
      <c r="Q777" s="4"/>
      <c r="R777" s="4"/>
      <c r="S777" s="4"/>
      <c r="T777" s="4"/>
      <c r="U777" s="4"/>
    </row>
    <row r="778" spans="1:21" ht="15.75" thickBot="1" x14ac:dyDescent="0.3">
      <c r="A778" s="8" t="s">
        <v>790</v>
      </c>
      <c r="B778" s="5">
        <v>229</v>
      </c>
      <c r="C778" s="14" t="s">
        <v>1583</v>
      </c>
      <c r="D778" s="5" t="s">
        <v>10</v>
      </c>
      <c r="E778" s="5" t="s">
        <v>11</v>
      </c>
      <c r="F778" s="5" t="s">
        <v>12</v>
      </c>
      <c r="G778" s="5">
        <v>103</v>
      </c>
      <c r="H778" s="5" t="s">
        <v>13</v>
      </c>
      <c r="I778" s="10" t="s">
        <v>791</v>
      </c>
      <c r="J778" s="4"/>
      <c r="K778" s="12">
        <f t="shared" ref="K778:K801" si="1160">(C779-C778)*1000</f>
        <v>51.89660000000007</v>
      </c>
      <c r="L778" s="4"/>
      <c r="M778" s="12">
        <f t="shared" ref="M778:M801" si="1161">K778-$L$2</f>
        <v>-61.717826499999937</v>
      </c>
      <c r="N778" s="12">
        <f t="shared" ref="N778" si="1162">M778^2</f>
        <v>3809.0901078840943</v>
      </c>
      <c r="O778" s="4"/>
      <c r="P778" s="4"/>
      <c r="Q778" s="4"/>
      <c r="R778" s="4"/>
      <c r="S778" s="4"/>
      <c r="T778" s="4"/>
      <c r="U778" s="4"/>
    </row>
    <row r="779" spans="1:21" ht="15.75" thickBot="1" x14ac:dyDescent="0.3">
      <c r="A779" s="9"/>
      <c r="B779" s="6">
        <v>243</v>
      </c>
      <c r="C779" s="13" t="s">
        <v>1584</v>
      </c>
      <c r="D779" s="6" t="s">
        <v>10</v>
      </c>
      <c r="E779" s="6" t="s">
        <v>11</v>
      </c>
      <c r="F779" s="6" t="s">
        <v>15</v>
      </c>
      <c r="G779" s="6">
        <v>164</v>
      </c>
      <c r="H779" s="6" t="s">
        <v>16</v>
      </c>
      <c r="I779" s="11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</row>
    <row r="780" spans="1:21" ht="15.75" thickBot="1" x14ac:dyDescent="0.3">
      <c r="A780" s="8" t="s">
        <v>792</v>
      </c>
      <c r="B780" s="5">
        <v>255</v>
      </c>
      <c r="C780" s="14" t="s">
        <v>1585</v>
      </c>
      <c r="D780" s="5" t="s">
        <v>10</v>
      </c>
      <c r="E780" s="5" t="s">
        <v>11</v>
      </c>
      <c r="F780" s="5" t="s">
        <v>12</v>
      </c>
      <c r="G780" s="5">
        <v>103</v>
      </c>
      <c r="H780" s="5" t="s">
        <v>13</v>
      </c>
      <c r="I780" s="10" t="s">
        <v>793</v>
      </c>
      <c r="J780" s="4"/>
      <c r="K780" s="12">
        <f t="shared" ref="K780:K801" si="1163">(C781-C780)*1000</f>
        <v>157.68840000000006</v>
      </c>
      <c r="L780" s="4"/>
      <c r="M780" s="12">
        <f t="shared" ref="M780:M801" si="1164">K780-$L$2</f>
        <v>44.073973500000051</v>
      </c>
      <c r="N780" s="12">
        <f t="shared" ref="N780" si="1165">M780^2</f>
        <v>1942.5151400787067</v>
      </c>
      <c r="O780" s="4"/>
      <c r="P780" s="4"/>
      <c r="Q780" s="4"/>
      <c r="R780" s="4"/>
      <c r="S780" s="4"/>
      <c r="T780" s="4"/>
      <c r="U780" s="4"/>
    </row>
    <row r="781" spans="1:21" ht="15.75" thickBot="1" x14ac:dyDescent="0.3">
      <c r="A781" s="9"/>
      <c r="B781" s="6">
        <v>293</v>
      </c>
      <c r="C781" s="13" t="s">
        <v>1586</v>
      </c>
      <c r="D781" s="6" t="s">
        <v>10</v>
      </c>
      <c r="E781" s="6" t="s">
        <v>11</v>
      </c>
      <c r="F781" s="6" t="s">
        <v>15</v>
      </c>
      <c r="G781" s="6">
        <v>164</v>
      </c>
      <c r="H781" s="6" t="s">
        <v>16</v>
      </c>
      <c r="I781" s="11"/>
      <c r="J781" s="4"/>
      <c r="K781" s="12"/>
      <c r="L781" s="4"/>
      <c r="M781" s="4"/>
      <c r="N781" s="4"/>
      <c r="O781" s="4"/>
      <c r="P781" s="4"/>
      <c r="Q781" s="4"/>
      <c r="R781" s="4"/>
      <c r="S781" s="4"/>
      <c r="T781" s="4"/>
      <c r="U781" s="4"/>
    </row>
    <row r="782" spans="1:21" ht="15.75" thickBot="1" x14ac:dyDescent="0.3">
      <c r="A782" s="8" t="s">
        <v>794</v>
      </c>
      <c r="B782" s="5">
        <v>213</v>
      </c>
      <c r="C782" s="14" t="s">
        <v>1588</v>
      </c>
      <c r="D782" s="5" t="s">
        <v>10</v>
      </c>
      <c r="E782" s="5" t="s">
        <v>11</v>
      </c>
      <c r="F782" s="5" t="s">
        <v>12</v>
      </c>
      <c r="G782" s="5">
        <v>103</v>
      </c>
      <c r="H782" s="5" t="s">
        <v>13</v>
      </c>
      <c r="I782" s="10" t="s">
        <v>795</v>
      </c>
      <c r="J782" s="4"/>
      <c r="K782" s="12">
        <f t="shared" ref="K782:K801" si="1166">(C783-C782)*1000</f>
        <v>51.059799999999989</v>
      </c>
      <c r="L782" s="4"/>
      <c r="M782" s="12">
        <f t="shared" ref="M782:M801" si="1167">K782-$L$2</f>
        <v>-62.554626500000019</v>
      </c>
      <c r="N782" s="12">
        <f t="shared" ref="N782" si="1168">M782^2</f>
        <v>3913.0812965545047</v>
      </c>
      <c r="O782" s="4"/>
      <c r="P782" s="4"/>
      <c r="Q782" s="4"/>
      <c r="R782" s="4"/>
      <c r="S782" s="4"/>
      <c r="T782" s="4"/>
      <c r="U782" s="4"/>
    </row>
    <row r="783" spans="1:21" ht="15.75" thickBot="1" x14ac:dyDescent="0.3">
      <c r="A783" s="9"/>
      <c r="B783" s="6">
        <v>225</v>
      </c>
      <c r="C783" s="13" t="s">
        <v>1587</v>
      </c>
      <c r="D783" s="6" t="s">
        <v>10</v>
      </c>
      <c r="E783" s="6" t="s">
        <v>11</v>
      </c>
      <c r="F783" s="6" t="s">
        <v>15</v>
      </c>
      <c r="G783" s="6">
        <v>164</v>
      </c>
      <c r="H783" s="6" t="s">
        <v>16</v>
      </c>
      <c r="I783" s="11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</row>
    <row r="784" spans="1:21" ht="15.75" thickBot="1" x14ac:dyDescent="0.3">
      <c r="A784" s="8" t="s">
        <v>796</v>
      </c>
      <c r="B784" s="5">
        <v>242</v>
      </c>
      <c r="C784" s="14" t="s">
        <v>1589</v>
      </c>
      <c r="D784" s="5" t="s">
        <v>10</v>
      </c>
      <c r="E784" s="5" t="s">
        <v>11</v>
      </c>
      <c r="F784" s="5" t="s">
        <v>12</v>
      </c>
      <c r="G784" s="5">
        <v>103</v>
      </c>
      <c r="H784" s="5" t="s">
        <v>13</v>
      </c>
      <c r="I784" s="10" t="s">
        <v>797</v>
      </c>
      <c r="J784" s="4"/>
      <c r="K784" s="12">
        <f t="shared" ref="K784:K801" si="1169">(C785-C784)*1000</f>
        <v>118.70490000000001</v>
      </c>
      <c r="L784" s="4"/>
      <c r="M784" s="12">
        <f t="shared" ref="M784:M801" si="1170">K784-$L$2</f>
        <v>5.0904735000000016</v>
      </c>
      <c r="N784" s="12">
        <f t="shared" ref="N784" si="1171">M784^2</f>
        <v>25.912920454202268</v>
      </c>
      <c r="O784" s="4"/>
      <c r="P784" s="4"/>
      <c r="Q784" s="4"/>
      <c r="R784" s="4"/>
      <c r="S784" s="4"/>
      <c r="T784" s="4"/>
      <c r="U784" s="4"/>
    </row>
    <row r="785" spans="1:21" ht="15.75" thickBot="1" x14ac:dyDescent="0.3">
      <c r="A785" s="9"/>
      <c r="B785" s="6">
        <v>271</v>
      </c>
      <c r="C785" s="13" t="s">
        <v>1590</v>
      </c>
      <c r="D785" s="6" t="s">
        <v>10</v>
      </c>
      <c r="E785" s="6" t="s">
        <v>11</v>
      </c>
      <c r="F785" s="6" t="s">
        <v>15</v>
      </c>
      <c r="G785" s="6">
        <v>160</v>
      </c>
      <c r="H785" s="6" t="s">
        <v>16</v>
      </c>
      <c r="I785" s="11"/>
      <c r="J785" s="4"/>
      <c r="K785" s="12"/>
      <c r="L785" s="4"/>
      <c r="M785" s="4"/>
      <c r="N785" s="4"/>
      <c r="O785" s="4"/>
      <c r="P785" s="4"/>
      <c r="Q785" s="4"/>
      <c r="R785" s="4"/>
      <c r="S785" s="4"/>
      <c r="T785" s="4"/>
      <c r="U785" s="4"/>
    </row>
    <row r="786" spans="1:21" ht="15.75" thickBot="1" x14ac:dyDescent="0.3">
      <c r="A786" s="8" t="s">
        <v>798</v>
      </c>
      <c r="B786" s="5">
        <v>286</v>
      </c>
      <c r="C786" s="14" t="s">
        <v>1591</v>
      </c>
      <c r="D786" s="5" t="s">
        <v>10</v>
      </c>
      <c r="E786" s="5" t="s">
        <v>11</v>
      </c>
      <c r="F786" s="5" t="s">
        <v>12</v>
      </c>
      <c r="G786" s="5">
        <v>103</v>
      </c>
      <c r="H786" s="5" t="s">
        <v>13</v>
      </c>
      <c r="I786" s="10" t="s">
        <v>799</v>
      </c>
      <c r="J786" s="4"/>
      <c r="K786" s="12">
        <f t="shared" ref="K786:K801" si="1172">(C787-C786)*1000</f>
        <v>126.81900000000002</v>
      </c>
      <c r="L786" s="4"/>
      <c r="M786" s="12">
        <f t="shared" ref="M786:M801" si="1173">K786-$L$2</f>
        <v>13.204573500000009</v>
      </c>
      <c r="N786" s="12">
        <f t="shared" ref="N786" si="1174">M786^2</f>
        <v>174.36076131690248</v>
      </c>
      <c r="O786" s="4"/>
      <c r="P786" s="4"/>
      <c r="Q786" s="4"/>
      <c r="R786" s="4"/>
      <c r="S786" s="4"/>
      <c r="T786" s="4"/>
      <c r="U786" s="4"/>
    </row>
    <row r="787" spans="1:21" ht="15.75" thickBot="1" x14ac:dyDescent="0.3">
      <c r="A787" s="9"/>
      <c r="B787" s="6">
        <v>313</v>
      </c>
      <c r="C787" s="13" t="s">
        <v>1592</v>
      </c>
      <c r="D787" s="6" t="s">
        <v>10</v>
      </c>
      <c r="E787" s="6" t="s">
        <v>11</v>
      </c>
      <c r="F787" s="6" t="s">
        <v>15</v>
      </c>
      <c r="G787" s="6">
        <v>164</v>
      </c>
      <c r="H787" s="6" t="s">
        <v>16</v>
      </c>
      <c r="I787" s="11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</row>
    <row r="788" spans="1:21" ht="15.75" thickBot="1" x14ac:dyDescent="0.3">
      <c r="A788" s="8" t="s">
        <v>800</v>
      </c>
      <c r="B788" s="5">
        <v>239</v>
      </c>
      <c r="C788" s="14" t="s">
        <v>1593</v>
      </c>
      <c r="D788" s="5" t="s">
        <v>10</v>
      </c>
      <c r="E788" s="5" t="s">
        <v>11</v>
      </c>
      <c r="F788" s="5" t="s">
        <v>12</v>
      </c>
      <c r="G788" s="5">
        <v>103</v>
      </c>
      <c r="H788" s="5" t="s">
        <v>13</v>
      </c>
      <c r="I788" s="10" t="s">
        <v>801</v>
      </c>
      <c r="J788" s="4"/>
      <c r="K788" s="12">
        <f t="shared" ref="K788:K801" si="1175">(C789-C788)*1000</f>
        <v>98.056000000000139</v>
      </c>
      <c r="L788" s="4"/>
      <c r="M788" s="12">
        <f t="shared" ref="M788:M801" si="1176">K788-$L$2</f>
        <v>-15.558426499999868</v>
      </c>
      <c r="N788" s="12">
        <f t="shared" ref="N788" si="1177">M788^2</f>
        <v>242.06463515589815</v>
      </c>
      <c r="O788" s="4"/>
      <c r="P788" s="4"/>
      <c r="Q788" s="4"/>
      <c r="R788" s="4"/>
      <c r="S788" s="4"/>
      <c r="T788" s="4"/>
      <c r="U788" s="4"/>
    </row>
    <row r="789" spans="1:21" ht="15.75" thickBot="1" x14ac:dyDescent="0.3">
      <c r="A789" s="9"/>
      <c r="B789" s="6">
        <v>272</v>
      </c>
      <c r="C789" s="13" t="s">
        <v>1594</v>
      </c>
      <c r="D789" s="6" t="s">
        <v>10</v>
      </c>
      <c r="E789" s="6" t="s">
        <v>11</v>
      </c>
      <c r="F789" s="6" t="s">
        <v>15</v>
      </c>
      <c r="G789" s="6">
        <v>164</v>
      </c>
      <c r="H789" s="6" t="s">
        <v>16</v>
      </c>
      <c r="I789" s="11"/>
      <c r="J789" s="4"/>
      <c r="K789" s="12"/>
      <c r="L789" s="4"/>
      <c r="M789" s="4"/>
      <c r="N789" s="4"/>
      <c r="O789" s="4"/>
      <c r="P789" s="4"/>
      <c r="Q789" s="4"/>
      <c r="R789" s="4"/>
      <c r="S789" s="4"/>
      <c r="T789" s="4"/>
      <c r="U789" s="4"/>
    </row>
    <row r="790" spans="1:21" ht="15.75" thickBot="1" x14ac:dyDescent="0.3">
      <c r="A790" s="8" t="s">
        <v>802</v>
      </c>
      <c r="B790" s="5">
        <v>305</v>
      </c>
      <c r="C790" s="14" t="s">
        <v>1595</v>
      </c>
      <c r="D790" s="5" t="s">
        <v>10</v>
      </c>
      <c r="E790" s="5" t="s">
        <v>11</v>
      </c>
      <c r="F790" s="5" t="s">
        <v>12</v>
      </c>
      <c r="G790" s="5">
        <v>103</v>
      </c>
      <c r="H790" s="5" t="s">
        <v>13</v>
      </c>
      <c r="I790" s="10" t="s">
        <v>803</v>
      </c>
      <c r="J790" s="4"/>
      <c r="K790" s="12">
        <f t="shared" ref="K790:K801" si="1178">(C791-C790)*1000</f>
        <v>42.514099999999999</v>
      </c>
      <c r="L790" s="4"/>
      <c r="M790" s="12">
        <f t="shared" ref="M790:M801" si="1179">K790-$L$2</f>
        <v>-71.100326500000008</v>
      </c>
      <c r="N790" s="12">
        <f t="shared" ref="N790" si="1180">M790^2</f>
        <v>5055.2564284066038</v>
      </c>
      <c r="O790" s="4"/>
      <c r="P790" s="4"/>
      <c r="Q790" s="4"/>
      <c r="R790" s="4"/>
      <c r="S790" s="4"/>
      <c r="T790" s="4"/>
      <c r="U790" s="4"/>
    </row>
    <row r="791" spans="1:21" ht="15.75" thickBot="1" x14ac:dyDescent="0.3">
      <c r="A791" s="9"/>
      <c r="B791" s="6">
        <v>316</v>
      </c>
      <c r="C791" s="13" t="s">
        <v>1596</v>
      </c>
      <c r="D791" s="6" t="s">
        <v>10</v>
      </c>
      <c r="E791" s="6" t="s">
        <v>11</v>
      </c>
      <c r="F791" s="6" t="s">
        <v>15</v>
      </c>
      <c r="G791" s="6">
        <v>164</v>
      </c>
      <c r="H791" s="6" t="s">
        <v>16</v>
      </c>
      <c r="I791" s="11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</row>
    <row r="792" spans="1:21" ht="15.75" thickBot="1" x14ac:dyDescent="0.3">
      <c r="A792" s="8" t="s">
        <v>804</v>
      </c>
      <c r="B792" s="5">
        <v>213</v>
      </c>
      <c r="C792" s="14" t="s">
        <v>1597</v>
      </c>
      <c r="D792" s="5" t="s">
        <v>10</v>
      </c>
      <c r="E792" s="5" t="s">
        <v>11</v>
      </c>
      <c r="F792" s="5" t="s">
        <v>12</v>
      </c>
      <c r="G792" s="5">
        <v>103</v>
      </c>
      <c r="H792" s="5" t="s">
        <v>13</v>
      </c>
      <c r="I792" s="10" t="s">
        <v>805</v>
      </c>
      <c r="J792" s="4"/>
      <c r="K792" s="12">
        <f t="shared" ref="K792:K801" si="1181">(C793-C792)*1000</f>
        <v>134.05959999999993</v>
      </c>
      <c r="L792" s="4"/>
      <c r="M792" s="12">
        <f t="shared" ref="M792:M801" si="1182">K792-$L$2</f>
        <v>20.445173499999925</v>
      </c>
      <c r="N792" s="12">
        <f t="shared" ref="N792" si="1183">M792^2</f>
        <v>418.00511944509918</v>
      </c>
      <c r="O792" s="4"/>
      <c r="P792" s="4"/>
      <c r="Q792" s="4"/>
      <c r="R792" s="4"/>
      <c r="S792" s="4"/>
      <c r="T792" s="4"/>
      <c r="U792" s="4"/>
    </row>
    <row r="793" spans="1:21" ht="15.75" thickBot="1" x14ac:dyDescent="0.3">
      <c r="A793" s="9"/>
      <c r="B793" s="6">
        <v>240</v>
      </c>
      <c r="C793" s="13" t="s">
        <v>1598</v>
      </c>
      <c r="D793" s="6" t="s">
        <v>10</v>
      </c>
      <c r="E793" s="6" t="s">
        <v>11</v>
      </c>
      <c r="F793" s="6" t="s">
        <v>15</v>
      </c>
      <c r="G793" s="6">
        <v>164</v>
      </c>
      <c r="H793" s="6" t="s">
        <v>16</v>
      </c>
      <c r="I793" s="11"/>
      <c r="J793" s="4"/>
      <c r="K793" s="12"/>
      <c r="L793" s="4"/>
      <c r="M793" s="4"/>
      <c r="N793" s="4"/>
      <c r="O793" s="4"/>
      <c r="P793" s="4"/>
      <c r="Q793" s="4"/>
      <c r="R793" s="4"/>
      <c r="S793" s="4"/>
      <c r="T793" s="4"/>
      <c r="U793" s="4"/>
    </row>
    <row r="794" spans="1:21" ht="15.75" thickBot="1" x14ac:dyDescent="0.3">
      <c r="A794" s="8" t="s">
        <v>806</v>
      </c>
      <c r="B794" s="5">
        <v>231</v>
      </c>
      <c r="C794" s="14" t="s">
        <v>1331</v>
      </c>
      <c r="D794" s="5" t="s">
        <v>10</v>
      </c>
      <c r="E794" s="5" t="s">
        <v>11</v>
      </c>
      <c r="F794" s="5" t="s">
        <v>12</v>
      </c>
      <c r="G794" s="5">
        <v>103</v>
      </c>
      <c r="H794" s="5" t="s">
        <v>13</v>
      </c>
      <c r="I794" s="10" t="s">
        <v>807</v>
      </c>
      <c r="J794" s="4"/>
      <c r="K794" s="12">
        <f t="shared" ref="K794:K801" si="1184">(C795-C794)*1000</f>
        <v>77.255099999999914</v>
      </c>
      <c r="L794" s="4"/>
      <c r="M794" s="12">
        <f t="shared" ref="M794:M801" si="1185">K794-$L$2</f>
        <v>-36.359326500000094</v>
      </c>
      <c r="N794" s="12">
        <f t="shared" ref="N794" si="1186">M794^2</f>
        <v>1322.0006235336091</v>
      </c>
      <c r="O794" s="4"/>
      <c r="P794" s="4"/>
      <c r="Q794" s="4"/>
      <c r="R794" s="4"/>
      <c r="S794" s="4"/>
      <c r="T794" s="4"/>
      <c r="U794" s="4"/>
    </row>
    <row r="795" spans="1:21" ht="15.75" thickBot="1" x14ac:dyDescent="0.3">
      <c r="A795" s="9"/>
      <c r="B795" s="6">
        <v>253</v>
      </c>
      <c r="C795" s="13" t="s">
        <v>1599</v>
      </c>
      <c r="D795" s="6" t="s">
        <v>10</v>
      </c>
      <c r="E795" s="6" t="s">
        <v>11</v>
      </c>
      <c r="F795" s="6" t="s">
        <v>15</v>
      </c>
      <c r="G795" s="6">
        <v>164</v>
      </c>
      <c r="H795" s="6" t="s">
        <v>16</v>
      </c>
      <c r="I795" s="11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</row>
    <row r="796" spans="1:21" ht="15.75" thickBot="1" x14ac:dyDescent="0.3">
      <c r="A796" s="8" t="s">
        <v>808</v>
      </c>
      <c r="B796" s="5">
        <v>263</v>
      </c>
      <c r="C796" s="14" t="s">
        <v>1600</v>
      </c>
      <c r="D796" s="5" t="s">
        <v>10</v>
      </c>
      <c r="E796" s="5" t="s">
        <v>11</v>
      </c>
      <c r="F796" s="5" t="s">
        <v>12</v>
      </c>
      <c r="G796" s="5">
        <v>103</v>
      </c>
      <c r="H796" s="5" t="s">
        <v>13</v>
      </c>
      <c r="I796" s="10" t="s">
        <v>809</v>
      </c>
      <c r="J796" s="4"/>
      <c r="K796" s="12">
        <f t="shared" ref="K796:K801" si="1187">(C797-C796)*1000</f>
        <v>135.72560000000001</v>
      </c>
      <c r="L796" s="4"/>
      <c r="M796" s="12">
        <f t="shared" ref="M796:M801" si="1188">K796-$L$2</f>
        <v>22.111173500000007</v>
      </c>
      <c r="N796" s="12">
        <f t="shared" ref="N796" si="1189">M796^2</f>
        <v>488.90399354710257</v>
      </c>
      <c r="O796" s="4"/>
      <c r="P796" s="4"/>
      <c r="Q796" s="4"/>
      <c r="R796" s="4"/>
      <c r="S796" s="4"/>
      <c r="T796" s="4"/>
      <c r="U796" s="4"/>
    </row>
    <row r="797" spans="1:21" ht="15.75" thickBot="1" x14ac:dyDescent="0.3">
      <c r="A797" s="9"/>
      <c r="B797" s="6">
        <v>292</v>
      </c>
      <c r="C797" s="13" t="s">
        <v>1601</v>
      </c>
      <c r="D797" s="6" t="s">
        <v>10</v>
      </c>
      <c r="E797" s="6" t="s">
        <v>11</v>
      </c>
      <c r="F797" s="6" t="s">
        <v>15</v>
      </c>
      <c r="G797" s="6">
        <v>164</v>
      </c>
      <c r="H797" s="6" t="s">
        <v>16</v>
      </c>
      <c r="I797" s="11"/>
      <c r="J797" s="4"/>
      <c r="K797" s="12"/>
      <c r="L797" s="4"/>
      <c r="M797" s="4"/>
      <c r="N797" s="4"/>
      <c r="O797" s="4"/>
      <c r="P797" s="4"/>
      <c r="Q797" s="4"/>
      <c r="R797" s="4"/>
      <c r="S797" s="4"/>
      <c r="T797" s="4"/>
      <c r="U797" s="4"/>
    </row>
    <row r="798" spans="1:21" ht="15.75" thickBot="1" x14ac:dyDescent="0.3">
      <c r="A798" s="8" t="s">
        <v>810</v>
      </c>
      <c r="B798" s="5">
        <v>242</v>
      </c>
      <c r="C798" s="14" t="s">
        <v>1602</v>
      </c>
      <c r="D798" s="5" t="s">
        <v>10</v>
      </c>
      <c r="E798" s="5" t="s">
        <v>11</v>
      </c>
      <c r="F798" s="5" t="s">
        <v>12</v>
      </c>
      <c r="G798" s="5">
        <v>103</v>
      </c>
      <c r="H798" s="5" t="s">
        <v>13</v>
      </c>
      <c r="I798" s="10" t="s">
        <v>811</v>
      </c>
      <c r="J798" s="4"/>
      <c r="K798" s="12">
        <f t="shared" ref="K798:K801" si="1190">(C799-C798)*1000</f>
        <v>123.39279999999997</v>
      </c>
      <c r="L798" s="4"/>
      <c r="M798" s="12">
        <f t="shared" ref="M798:M801" si="1191">K798-$L$2</f>
        <v>9.7783734999999581</v>
      </c>
      <c r="N798" s="12">
        <f t="shared" ref="N798" si="1192">M798^2</f>
        <v>95.616588305501423</v>
      </c>
      <c r="O798" s="4"/>
      <c r="P798" s="4"/>
      <c r="Q798" s="4"/>
      <c r="R798" s="4"/>
      <c r="S798" s="4"/>
      <c r="T798" s="4"/>
      <c r="U798" s="4"/>
    </row>
    <row r="799" spans="1:21" ht="15.75" thickBot="1" x14ac:dyDescent="0.3">
      <c r="A799" s="9"/>
      <c r="B799" s="6">
        <v>270</v>
      </c>
      <c r="C799" s="13" t="s">
        <v>1603</v>
      </c>
      <c r="D799" s="6" t="s">
        <v>10</v>
      </c>
      <c r="E799" s="6" t="s">
        <v>11</v>
      </c>
      <c r="F799" s="6" t="s">
        <v>15</v>
      </c>
      <c r="G799" s="6">
        <v>164</v>
      </c>
      <c r="H799" s="6" t="s">
        <v>16</v>
      </c>
      <c r="I799" s="11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</row>
    <row r="800" spans="1:21" ht="15.75" thickBot="1" x14ac:dyDescent="0.3">
      <c r="A800" s="8" t="s">
        <v>812</v>
      </c>
      <c r="B800" s="5">
        <v>217</v>
      </c>
      <c r="C800" s="14" t="s">
        <v>1604</v>
      </c>
      <c r="D800" s="5" t="s">
        <v>10</v>
      </c>
      <c r="E800" s="5" t="s">
        <v>11</v>
      </c>
      <c r="F800" s="5" t="s">
        <v>12</v>
      </c>
      <c r="G800" s="5">
        <v>103</v>
      </c>
      <c r="H800" s="5" t="s">
        <v>13</v>
      </c>
      <c r="I800" s="10" t="s">
        <v>813</v>
      </c>
      <c r="J800" s="4"/>
      <c r="K800" s="12">
        <f t="shared" ref="K800:K801" si="1193">(C801-C800)*1000</f>
        <v>111.47269999999997</v>
      </c>
      <c r="L800" s="4"/>
      <c r="M800" s="12">
        <f t="shared" ref="M800:M801" si="1194">K800-$L$2</f>
        <v>-2.1417265000000327</v>
      </c>
      <c r="N800" s="12">
        <f t="shared" ref="N800" si="1195">M800^2</f>
        <v>4.5869924008023899</v>
      </c>
      <c r="O800" s="4"/>
      <c r="P800" s="4"/>
      <c r="Q800" s="4"/>
      <c r="R800" s="4"/>
      <c r="S800" s="4"/>
      <c r="T800" s="4"/>
      <c r="U800" s="4"/>
    </row>
    <row r="801" spans="1:21" ht="15.75" thickBot="1" x14ac:dyDescent="0.3">
      <c r="A801" s="9"/>
      <c r="B801" s="6">
        <v>247</v>
      </c>
      <c r="C801" s="13" t="s">
        <v>1605</v>
      </c>
      <c r="D801" s="6" t="s">
        <v>10</v>
      </c>
      <c r="E801" s="6" t="s">
        <v>11</v>
      </c>
      <c r="F801" s="6" t="s">
        <v>15</v>
      </c>
      <c r="G801" s="6">
        <v>164</v>
      </c>
      <c r="H801" s="6" t="s">
        <v>16</v>
      </c>
      <c r="I801" s="11"/>
      <c r="J801" s="4"/>
      <c r="K801" s="12"/>
      <c r="L801" s="4"/>
      <c r="M801" s="4"/>
      <c r="N801" s="4"/>
      <c r="O801" s="4"/>
      <c r="P801" s="4"/>
      <c r="Q801" s="4"/>
      <c r="R801" s="4"/>
      <c r="S801" s="4"/>
      <c r="T801" s="4"/>
      <c r="U801" s="4"/>
    </row>
    <row r="802" spans="1:21" ht="15.75" thickBot="1" x14ac:dyDescent="0.3">
      <c r="A802" s="4"/>
      <c r="B802" s="4"/>
      <c r="C802" s="4"/>
      <c r="D802" s="4"/>
      <c r="E802" s="4"/>
      <c r="F802" s="4"/>
      <c r="G802" s="4"/>
      <c r="H802" s="4"/>
      <c r="I802" s="7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</row>
    <row r="803" spans="1:21" ht="15.75" thickBot="1" x14ac:dyDescent="0.3">
      <c r="A803" s="4"/>
      <c r="B803" s="4"/>
      <c r="C803" s="4"/>
      <c r="D803" s="4"/>
      <c r="E803" s="4"/>
      <c r="F803" s="4"/>
      <c r="G803" s="4"/>
      <c r="H803" s="4"/>
      <c r="I803" s="7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</row>
    <row r="804" spans="1:21" ht="15.75" thickBot="1" x14ac:dyDescent="0.3">
      <c r="A804" s="4"/>
      <c r="B804" s="4"/>
      <c r="C804" s="4"/>
      <c r="D804" s="4"/>
      <c r="E804" s="4"/>
      <c r="F804" s="4"/>
      <c r="G804" s="4"/>
      <c r="H804" s="4"/>
      <c r="I804" s="7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</row>
    <row r="805" spans="1:21" ht="15.75" thickBot="1" x14ac:dyDescent="0.3">
      <c r="A805" s="4"/>
      <c r="B805" s="4"/>
      <c r="C805" s="4"/>
      <c r="D805" s="4"/>
      <c r="E805" s="4"/>
      <c r="F805" s="4"/>
      <c r="G805" s="4"/>
      <c r="H805" s="4"/>
      <c r="I805" s="7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</row>
    <row r="806" spans="1:21" ht="15.75" thickBot="1" x14ac:dyDescent="0.3">
      <c r="A806" s="4"/>
      <c r="B806" s="4"/>
      <c r="C806" s="4"/>
      <c r="D806" s="4"/>
      <c r="E806" s="4"/>
      <c r="F806" s="4"/>
      <c r="G806" s="4"/>
      <c r="H806" s="4"/>
      <c r="I806" s="7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</row>
    <row r="807" spans="1:21" ht="15.75" thickBot="1" x14ac:dyDescent="0.3">
      <c r="A807" s="4"/>
      <c r="B807" s="4"/>
      <c r="C807" s="4"/>
      <c r="D807" s="4"/>
      <c r="E807" s="4"/>
      <c r="F807" s="4"/>
      <c r="G807" s="4"/>
      <c r="H807" s="4"/>
      <c r="I807" s="7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</row>
    <row r="808" spans="1:21" ht="15.75" thickBot="1" x14ac:dyDescent="0.3">
      <c r="A808" s="4"/>
      <c r="B808" s="4"/>
      <c r="C808" s="4"/>
      <c r="D808" s="4"/>
      <c r="E808" s="4"/>
      <c r="F808" s="4"/>
      <c r="G808" s="4"/>
      <c r="H808" s="4"/>
      <c r="I808" s="7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</row>
    <row r="809" spans="1:21" ht="15.75" thickBot="1" x14ac:dyDescent="0.3">
      <c r="A809" s="4"/>
      <c r="B809" s="4"/>
      <c r="C809" s="4"/>
      <c r="D809" s="4"/>
      <c r="E809" s="4"/>
      <c r="F809" s="4"/>
      <c r="G809" s="4"/>
      <c r="H809" s="4"/>
      <c r="I809" s="7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</row>
    <row r="810" spans="1:21" ht="15.75" thickBot="1" x14ac:dyDescent="0.3">
      <c r="A810" s="4"/>
      <c r="B810" s="4"/>
      <c r="C810" s="4"/>
      <c r="D810" s="4"/>
      <c r="E810" s="4"/>
      <c r="F810" s="4"/>
      <c r="G810" s="4"/>
      <c r="H810" s="4"/>
      <c r="I810" s="7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</row>
    <row r="811" spans="1:21" ht="15.75" thickBot="1" x14ac:dyDescent="0.3">
      <c r="A811" s="4"/>
      <c r="B811" s="4"/>
      <c r="C811" s="4"/>
      <c r="D811" s="4"/>
      <c r="E811" s="4"/>
      <c r="F811" s="4"/>
      <c r="G811" s="4"/>
      <c r="H811" s="4"/>
      <c r="I811" s="7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</row>
    <row r="812" spans="1:21" ht="15.75" thickBot="1" x14ac:dyDescent="0.3">
      <c r="A812" s="4"/>
      <c r="B812" s="4"/>
      <c r="C812" s="4"/>
      <c r="D812" s="4"/>
      <c r="E812" s="4"/>
      <c r="F812" s="4"/>
      <c r="G812" s="4"/>
      <c r="H812" s="4"/>
      <c r="I812" s="7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</row>
    <row r="813" spans="1:21" ht="15.75" thickBot="1" x14ac:dyDescent="0.3">
      <c r="A813" s="4"/>
      <c r="B813" s="4"/>
      <c r="C813" s="4"/>
      <c r="D813" s="4"/>
      <c r="E813" s="4"/>
      <c r="F813" s="4"/>
      <c r="G813" s="4"/>
      <c r="H813" s="4"/>
      <c r="I813" s="7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</row>
    <row r="814" spans="1:21" ht="15.75" thickBot="1" x14ac:dyDescent="0.3">
      <c r="A814" s="4"/>
      <c r="B814" s="4"/>
      <c r="C814" s="4"/>
      <c r="D814" s="4"/>
      <c r="E814" s="4"/>
      <c r="F814" s="4"/>
      <c r="G814" s="4"/>
      <c r="H814" s="4"/>
      <c r="I814" s="7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</row>
    <row r="815" spans="1:21" ht="15.75" thickBot="1" x14ac:dyDescent="0.3">
      <c r="A815" s="4"/>
      <c r="B815" s="4"/>
      <c r="C815" s="4"/>
      <c r="D815" s="4"/>
      <c r="E815" s="4"/>
      <c r="F815" s="4"/>
      <c r="G815" s="4"/>
      <c r="H815" s="4"/>
      <c r="I815" s="7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</row>
    <row r="816" spans="1:21" ht="15.75" thickBot="1" x14ac:dyDescent="0.3">
      <c r="A816" s="4"/>
      <c r="B816" s="4"/>
      <c r="C816" s="4"/>
      <c r="D816" s="4"/>
      <c r="E816" s="4"/>
      <c r="F816" s="4"/>
      <c r="G816" s="4"/>
      <c r="H816" s="4"/>
      <c r="I816" s="7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</row>
    <row r="817" spans="1:21" ht="15.75" thickBot="1" x14ac:dyDescent="0.3">
      <c r="A817" s="4"/>
      <c r="B817" s="4"/>
      <c r="C817" s="4"/>
      <c r="D817" s="4"/>
      <c r="E817" s="4"/>
      <c r="F817" s="4"/>
      <c r="G817" s="4"/>
      <c r="H817" s="4"/>
      <c r="I817" s="7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</row>
    <row r="818" spans="1:21" ht="15.75" thickBot="1" x14ac:dyDescent="0.3">
      <c r="A818" s="4"/>
      <c r="B818" s="4"/>
      <c r="C818" s="4"/>
      <c r="D818" s="4"/>
      <c r="E818" s="4"/>
      <c r="F818" s="4"/>
      <c r="G818" s="4"/>
      <c r="H818" s="4"/>
      <c r="I818" s="7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</row>
    <row r="819" spans="1:21" ht="15.75" thickBot="1" x14ac:dyDescent="0.3">
      <c r="A819" s="4"/>
      <c r="B819" s="4"/>
      <c r="C819" s="4"/>
      <c r="D819" s="4"/>
      <c r="E819" s="4"/>
      <c r="F819" s="4"/>
      <c r="G819" s="4"/>
      <c r="H819" s="4"/>
      <c r="I819" s="7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</row>
    <row r="820" spans="1:21" ht="15.75" thickBot="1" x14ac:dyDescent="0.3">
      <c r="A820" s="4"/>
      <c r="B820" s="4"/>
      <c r="C820" s="4"/>
      <c r="D820" s="4"/>
      <c r="E820" s="4"/>
      <c r="F820" s="4"/>
      <c r="G820" s="4"/>
      <c r="H820" s="4"/>
      <c r="I820" s="7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</row>
    <row r="821" spans="1:21" ht="15.75" thickBot="1" x14ac:dyDescent="0.3">
      <c r="A821" s="4"/>
      <c r="B821" s="4"/>
      <c r="C821" s="4"/>
      <c r="D821" s="4"/>
      <c r="E821" s="4"/>
      <c r="F821" s="4"/>
      <c r="G821" s="4"/>
      <c r="H821" s="4"/>
      <c r="I821" s="7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</row>
    <row r="822" spans="1:21" ht="15.75" thickBot="1" x14ac:dyDescent="0.3">
      <c r="A822" s="4"/>
      <c r="B822" s="4"/>
      <c r="C822" s="4"/>
      <c r="D822" s="4"/>
      <c r="E822" s="4"/>
      <c r="F822" s="4"/>
      <c r="G822" s="4"/>
      <c r="H822" s="4"/>
      <c r="I822" s="7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</row>
    <row r="823" spans="1:21" ht="15.75" thickBot="1" x14ac:dyDescent="0.3">
      <c r="A823" s="4"/>
      <c r="B823" s="4"/>
      <c r="C823" s="4"/>
      <c r="D823" s="4"/>
      <c r="E823" s="4"/>
      <c r="F823" s="4"/>
      <c r="G823" s="4"/>
      <c r="H823" s="4"/>
      <c r="I823" s="7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</row>
    <row r="824" spans="1:21" ht="15.75" thickBot="1" x14ac:dyDescent="0.3">
      <c r="A824" s="4"/>
      <c r="B824" s="4"/>
      <c r="C824" s="4"/>
      <c r="D824" s="4"/>
      <c r="E824" s="4"/>
      <c r="F824" s="4"/>
      <c r="G824" s="4"/>
      <c r="H824" s="4"/>
      <c r="I824" s="7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</row>
    <row r="825" spans="1:21" ht="15.75" thickBot="1" x14ac:dyDescent="0.3">
      <c r="A825" s="4"/>
      <c r="B825" s="4"/>
      <c r="C825" s="4"/>
      <c r="D825" s="4"/>
      <c r="E825" s="4"/>
      <c r="F825" s="4"/>
      <c r="G825" s="4"/>
      <c r="H825" s="4"/>
      <c r="I825" s="7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</row>
    <row r="826" spans="1:21" ht="15.75" thickBot="1" x14ac:dyDescent="0.3">
      <c r="A826" s="4"/>
      <c r="B826" s="4"/>
      <c r="C826" s="4"/>
      <c r="D826" s="4"/>
      <c r="E826" s="4"/>
      <c r="F826" s="4"/>
      <c r="G826" s="4"/>
      <c r="H826" s="4"/>
      <c r="I826" s="7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</row>
    <row r="827" spans="1:21" ht="15.75" thickBot="1" x14ac:dyDescent="0.3">
      <c r="A827" s="4"/>
      <c r="B827" s="4"/>
      <c r="C827" s="4"/>
      <c r="D827" s="4"/>
      <c r="E827" s="4"/>
      <c r="F827" s="4"/>
      <c r="G827" s="4"/>
      <c r="H827" s="4"/>
      <c r="I827" s="7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</row>
    <row r="828" spans="1:21" ht="15.75" thickBot="1" x14ac:dyDescent="0.3">
      <c r="A828" s="4"/>
      <c r="B828" s="4"/>
      <c r="C828" s="4"/>
      <c r="D828" s="4"/>
      <c r="E828" s="4"/>
      <c r="F828" s="4"/>
      <c r="G828" s="4"/>
      <c r="H828" s="4"/>
      <c r="I828" s="7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</row>
    <row r="829" spans="1:21" ht="15.75" thickBot="1" x14ac:dyDescent="0.3">
      <c r="A829" s="4"/>
      <c r="B829" s="4"/>
      <c r="C829" s="4"/>
      <c r="D829" s="4"/>
      <c r="E829" s="4"/>
      <c r="F829" s="4"/>
      <c r="G829" s="4"/>
      <c r="H829" s="4"/>
      <c r="I829" s="7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</row>
    <row r="830" spans="1:21" ht="15.75" thickBot="1" x14ac:dyDescent="0.3">
      <c r="A830" s="4"/>
      <c r="B830" s="4"/>
      <c r="C830" s="4"/>
      <c r="D830" s="4"/>
      <c r="E830" s="4"/>
      <c r="F830" s="4"/>
      <c r="G830" s="4"/>
      <c r="H830" s="4"/>
      <c r="I830" s="7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</row>
    <row r="831" spans="1:21" ht="15.75" thickBot="1" x14ac:dyDescent="0.3">
      <c r="A831" s="4"/>
      <c r="B831" s="4"/>
      <c r="C831" s="4"/>
      <c r="D831" s="4"/>
      <c r="E831" s="4"/>
      <c r="F831" s="4"/>
      <c r="G831" s="4"/>
      <c r="H831" s="4"/>
      <c r="I831" s="7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</row>
    <row r="832" spans="1:21" ht="15.75" thickBot="1" x14ac:dyDescent="0.3">
      <c r="A832" s="4"/>
      <c r="B832" s="4"/>
      <c r="C832" s="4"/>
      <c r="D832" s="4"/>
      <c r="E832" s="4"/>
      <c r="F832" s="4"/>
      <c r="G832" s="4"/>
      <c r="H832" s="4"/>
      <c r="I832" s="7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</row>
    <row r="833" spans="1:21" ht="15.75" thickBot="1" x14ac:dyDescent="0.3">
      <c r="A833" s="4"/>
      <c r="B833" s="4"/>
      <c r="C833" s="4"/>
      <c r="D833" s="4"/>
      <c r="E833" s="4"/>
      <c r="F833" s="4"/>
      <c r="G833" s="4"/>
      <c r="H833" s="4"/>
      <c r="I833" s="7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</row>
    <row r="834" spans="1:21" ht="15.75" thickBot="1" x14ac:dyDescent="0.3">
      <c r="A834" s="4"/>
      <c r="B834" s="4"/>
      <c r="C834" s="4"/>
      <c r="D834" s="4"/>
      <c r="E834" s="4"/>
      <c r="F834" s="4"/>
      <c r="G834" s="4"/>
      <c r="H834" s="4"/>
      <c r="I834" s="7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</row>
    <row r="835" spans="1:21" ht="15.75" thickBot="1" x14ac:dyDescent="0.3">
      <c r="A835" s="4"/>
      <c r="B835" s="4"/>
      <c r="C835" s="4"/>
      <c r="D835" s="4"/>
      <c r="E835" s="4"/>
      <c r="F835" s="4"/>
      <c r="G835" s="4"/>
      <c r="H835" s="4"/>
      <c r="I835" s="7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</row>
    <row r="836" spans="1:21" ht="15.75" thickBot="1" x14ac:dyDescent="0.3">
      <c r="A836" s="4"/>
      <c r="B836" s="4"/>
      <c r="C836" s="4"/>
      <c r="D836" s="4"/>
      <c r="E836" s="4"/>
      <c r="F836" s="4"/>
      <c r="G836" s="4"/>
      <c r="H836" s="4"/>
      <c r="I836" s="7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</row>
    <row r="837" spans="1:21" ht="15.75" thickBot="1" x14ac:dyDescent="0.3">
      <c r="A837" s="4"/>
      <c r="B837" s="4"/>
      <c r="C837" s="4"/>
      <c r="D837" s="4"/>
      <c r="E837" s="4"/>
      <c r="F837" s="4"/>
      <c r="G837" s="4"/>
      <c r="H837" s="4"/>
      <c r="I837" s="7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</row>
    <row r="838" spans="1:21" ht="15.75" thickBot="1" x14ac:dyDescent="0.3">
      <c r="A838" s="4"/>
      <c r="B838" s="4"/>
      <c r="C838" s="4"/>
      <c r="D838" s="4"/>
      <c r="E838" s="4"/>
      <c r="F838" s="4"/>
      <c r="G838" s="4"/>
      <c r="H838" s="4"/>
      <c r="I838" s="7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</row>
    <row r="839" spans="1:21" ht="15.75" thickBot="1" x14ac:dyDescent="0.3">
      <c r="A839" s="4"/>
      <c r="B839" s="4"/>
      <c r="C839" s="4"/>
      <c r="D839" s="4"/>
      <c r="E839" s="4"/>
      <c r="F839" s="4"/>
      <c r="G839" s="4"/>
      <c r="H839" s="4"/>
      <c r="I839" s="7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</row>
    <row r="840" spans="1:21" ht="15.75" thickBot="1" x14ac:dyDescent="0.3">
      <c r="A840" s="4"/>
      <c r="B840" s="4"/>
      <c r="C840" s="4"/>
      <c r="D840" s="4"/>
      <c r="E840" s="4"/>
      <c r="F840" s="4"/>
      <c r="G840" s="4"/>
      <c r="H840" s="4"/>
      <c r="I840" s="7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</row>
    <row r="841" spans="1:21" ht="15.75" thickBot="1" x14ac:dyDescent="0.3">
      <c r="A841" s="4"/>
      <c r="B841" s="4"/>
      <c r="C841" s="4"/>
      <c r="D841" s="4"/>
      <c r="E841" s="4"/>
      <c r="F841" s="4"/>
      <c r="G841" s="4"/>
      <c r="H841" s="4"/>
      <c r="I841" s="7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</row>
    <row r="842" spans="1:21" ht="15.75" thickBot="1" x14ac:dyDescent="0.3">
      <c r="A842" s="4"/>
      <c r="B842" s="4"/>
      <c r="C842" s="4"/>
      <c r="D842" s="4"/>
      <c r="E842" s="4"/>
      <c r="F842" s="4"/>
      <c r="G842" s="4"/>
      <c r="H842" s="4"/>
      <c r="I842" s="7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</row>
    <row r="843" spans="1:21" ht="15.75" thickBot="1" x14ac:dyDescent="0.3">
      <c r="A843" s="4"/>
      <c r="B843" s="4"/>
      <c r="C843" s="4"/>
      <c r="D843" s="4"/>
      <c r="E843" s="4"/>
      <c r="F843" s="4"/>
      <c r="G843" s="4"/>
      <c r="H843" s="4"/>
      <c r="I843" s="7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</row>
    <row r="844" spans="1:21" ht="15.75" thickBot="1" x14ac:dyDescent="0.3">
      <c r="A844" s="4"/>
      <c r="B844" s="4"/>
      <c r="C844" s="4"/>
      <c r="D844" s="4"/>
      <c r="E844" s="4"/>
      <c r="F844" s="4"/>
      <c r="G844" s="4"/>
      <c r="H844" s="4"/>
      <c r="I844" s="7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</row>
    <row r="845" spans="1:21" ht="15.75" thickBot="1" x14ac:dyDescent="0.3">
      <c r="A845" s="4"/>
      <c r="B845" s="4"/>
      <c r="C845" s="4"/>
      <c r="D845" s="4"/>
      <c r="E845" s="4"/>
      <c r="F845" s="4"/>
      <c r="G845" s="4"/>
      <c r="H845" s="4"/>
      <c r="I845" s="7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</row>
    <row r="846" spans="1:21" ht="15.75" thickBot="1" x14ac:dyDescent="0.3">
      <c r="A846" s="4"/>
      <c r="B846" s="4"/>
      <c r="C846" s="4"/>
      <c r="D846" s="4"/>
      <c r="E846" s="4"/>
      <c r="F846" s="4"/>
      <c r="G846" s="4"/>
      <c r="H846" s="4"/>
      <c r="I846" s="7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</row>
    <row r="847" spans="1:21" ht="15.75" thickBot="1" x14ac:dyDescent="0.3">
      <c r="A847" s="4"/>
      <c r="B847" s="4"/>
      <c r="C847" s="4"/>
      <c r="D847" s="4"/>
      <c r="E847" s="4"/>
      <c r="F847" s="4"/>
      <c r="G847" s="4"/>
      <c r="H847" s="4"/>
      <c r="I847" s="7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</row>
    <row r="848" spans="1:21" ht="15.75" thickBot="1" x14ac:dyDescent="0.3">
      <c r="A848" s="4"/>
      <c r="B848" s="4"/>
      <c r="C848" s="4"/>
      <c r="D848" s="4"/>
      <c r="E848" s="4"/>
      <c r="F848" s="4"/>
      <c r="G848" s="4"/>
      <c r="H848" s="4"/>
      <c r="I848" s="7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</row>
    <row r="849" spans="1:21" ht="15.75" thickBot="1" x14ac:dyDescent="0.3">
      <c r="A849" s="4"/>
      <c r="B849" s="4"/>
      <c r="C849" s="4"/>
      <c r="D849" s="4"/>
      <c r="E849" s="4"/>
      <c r="F849" s="4"/>
      <c r="G849" s="4"/>
      <c r="H849" s="4"/>
      <c r="I849" s="7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</row>
    <row r="850" spans="1:21" ht="15.75" thickBot="1" x14ac:dyDescent="0.3">
      <c r="A850" s="4"/>
      <c r="B850" s="4"/>
      <c r="C850" s="4"/>
      <c r="D850" s="4"/>
      <c r="E850" s="4"/>
      <c r="F850" s="4"/>
      <c r="G850" s="4"/>
      <c r="H850" s="4"/>
      <c r="I850" s="7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</row>
    <row r="851" spans="1:21" ht="15.75" thickBot="1" x14ac:dyDescent="0.3">
      <c r="A851" s="4"/>
      <c r="B851" s="4"/>
      <c r="C851" s="4"/>
      <c r="D851" s="4"/>
      <c r="E851" s="4"/>
      <c r="F851" s="4"/>
      <c r="G851" s="4"/>
      <c r="H851" s="4"/>
      <c r="I851" s="7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</row>
    <row r="852" spans="1:21" ht="15.75" thickBot="1" x14ac:dyDescent="0.3">
      <c r="A852" s="4"/>
      <c r="B852" s="4"/>
      <c r="C852" s="4"/>
      <c r="D852" s="4"/>
      <c r="E852" s="4"/>
      <c r="F852" s="4"/>
      <c r="G852" s="4"/>
      <c r="H852" s="4"/>
      <c r="I852" s="7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</row>
    <row r="853" spans="1:21" ht="15.75" thickBot="1" x14ac:dyDescent="0.3">
      <c r="A853" s="4"/>
      <c r="B853" s="4"/>
      <c r="C853" s="4"/>
      <c r="D853" s="4"/>
      <c r="E853" s="4"/>
      <c r="F853" s="4"/>
      <c r="G853" s="4"/>
      <c r="H853" s="4"/>
      <c r="I853" s="7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</row>
    <row r="854" spans="1:21" ht="15.75" thickBot="1" x14ac:dyDescent="0.3">
      <c r="A854" s="4"/>
      <c r="B854" s="4"/>
      <c r="C854" s="4"/>
      <c r="D854" s="4"/>
      <c r="E854" s="4"/>
      <c r="F854" s="4"/>
      <c r="G854" s="4"/>
      <c r="H854" s="4"/>
      <c r="I854" s="7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</row>
    <row r="855" spans="1:21" ht="15.75" thickBot="1" x14ac:dyDescent="0.3">
      <c r="A855" s="4"/>
      <c r="B855" s="4"/>
      <c r="C855" s="4"/>
      <c r="D855" s="4"/>
      <c r="E855" s="4"/>
      <c r="F855" s="4"/>
      <c r="G855" s="4"/>
      <c r="H855" s="4"/>
      <c r="I855" s="7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</row>
    <row r="856" spans="1:21" ht="15.75" thickBot="1" x14ac:dyDescent="0.3">
      <c r="A856" s="4"/>
      <c r="B856" s="4"/>
      <c r="C856" s="4"/>
      <c r="D856" s="4"/>
      <c r="E856" s="4"/>
      <c r="F856" s="4"/>
      <c r="G856" s="4"/>
      <c r="H856" s="4"/>
      <c r="I856" s="7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</row>
    <row r="857" spans="1:21" ht="15.75" thickBot="1" x14ac:dyDescent="0.3">
      <c r="A857" s="4"/>
      <c r="B857" s="4"/>
      <c r="C857" s="4"/>
      <c r="D857" s="4"/>
      <c r="E857" s="4"/>
      <c r="F857" s="4"/>
      <c r="G857" s="4"/>
      <c r="H857" s="4"/>
      <c r="I857" s="7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</row>
    <row r="858" spans="1:21" ht="15.75" thickBot="1" x14ac:dyDescent="0.3">
      <c r="A858" s="4"/>
      <c r="B858" s="4"/>
      <c r="C858" s="4"/>
      <c r="D858" s="4"/>
      <c r="E858" s="4"/>
      <c r="F858" s="4"/>
      <c r="G858" s="4"/>
      <c r="H858" s="4"/>
      <c r="I858" s="7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</row>
    <row r="859" spans="1:21" ht="15.75" thickBot="1" x14ac:dyDescent="0.3">
      <c r="A859" s="4"/>
      <c r="B859" s="4"/>
      <c r="C859" s="4"/>
      <c r="D859" s="4"/>
      <c r="E859" s="4"/>
      <c r="F859" s="4"/>
      <c r="G859" s="4"/>
      <c r="H859" s="4"/>
      <c r="I859" s="7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</row>
    <row r="860" spans="1:21" ht="15.75" thickBot="1" x14ac:dyDescent="0.3">
      <c r="A860" s="4"/>
      <c r="B860" s="4"/>
      <c r="C860" s="4"/>
      <c r="D860" s="4"/>
      <c r="E860" s="4"/>
      <c r="F860" s="4"/>
      <c r="G860" s="4"/>
      <c r="H860" s="4"/>
      <c r="I860" s="7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</row>
    <row r="861" spans="1:21" ht="15.75" thickBot="1" x14ac:dyDescent="0.3">
      <c r="A861" s="4"/>
      <c r="B861" s="4"/>
      <c r="C861" s="4"/>
      <c r="D861" s="4"/>
      <c r="E861" s="4"/>
      <c r="F861" s="4"/>
      <c r="G861" s="4"/>
      <c r="H861" s="4"/>
      <c r="I861" s="7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</row>
    <row r="862" spans="1:21" ht="15.75" thickBot="1" x14ac:dyDescent="0.3">
      <c r="A862" s="4"/>
      <c r="B862" s="4"/>
      <c r="C862" s="4"/>
      <c r="D862" s="4"/>
      <c r="E862" s="4"/>
      <c r="F862" s="4"/>
      <c r="G862" s="4"/>
      <c r="H862" s="4"/>
      <c r="I862" s="7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</row>
    <row r="863" spans="1:21" ht="15.75" thickBot="1" x14ac:dyDescent="0.3">
      <c r="A863" s="4"/>
      <c r="B863" s="4"/>
      <c r="C863" s="4"/>
      <c r="D863" s="4"/>
      <c r="E863" s="4"/>
      <c r="F863" s="4"/>
      <c r="G863" s="4"/>
      <c r="H863" s="4"/>
      <c r="I863" s="7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</row>
    <row r="864" spans="1:21" ht="15.75" thickBot="1" x14ac:dyDescent="0.3">
      <c r="A864" s="4"/>
      <c r="B864" s="4"/>
      <c r="C864" s="4"/>
      <c r="D864" s="4"/>
      <c r="E864" s="4"/>
      <c r="F864" s="4"/>
      <c r="G864" s="4"/>
      <c r="H864" s="4"/>
      <c r="I864" s="7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</row>
    <row r="865" spans="1:21" ht="15.75" thickBot="1" x14ac:dyDescent="0.3">
      <c r="A865" s="4"/>
      <c r="B865" s="4"/>
      <c r="C865" s="4"/>
      <c r="D865" s="4"/>
      <c r="E865" s="4"/>
      <c r="F865" s="4"/>
      <c r="G865" s="4"/>
      <c r="H865" s="4"/>
      <c r="I865" s="7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</row>
    <row r="866" spans="1:21" ht="15.75" thickBot="1" x14ac:dyDescent="0.3">
      <c r="A866" s="4"/>
      <c r="B866" s="4"/>
      <c r="C866" s="4"/>
      <c r="D866" s="4"/>
      <c r="E866" s="4"/>
      <c r="F866" s="4"/>
      <c r="G866" s="4"/>
      <c r="H866" s="4"/>
      <c r="I866" s="7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</row>
    <row r="867" spans="1:21" ht="15.75" thickBot="1" x14ac:dyDescent="0.3">
      <c r="A867" s="4"/>
      <c r="B867" s="4"/>
      <c r="C867" s="4"/>
      <c r="D867" s="4"/>
      <c r="E867" s="4"/>
      <c r="F867" s="4"/>
      <c r="G867" s="4"/>
      <c r="H867" s="4"/>
      <c r="I867" s="7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</row>
    <row r="868" spans="1:21" ht="15.75" thickBot="1" x14ac:dyDescent="0.3">
      <c r="A868" s="4"/>
      <c r="B868" s="4"/>
      <c r="C868" s="4"/>
      <c r="D868" s="4"/>
      <c r="E868" s="4"/>
      <c r="F868" s="4"/>
      <c r="G868" s="4"/>
      <c r="H868" s="4"/>
      <c r="I868" s="7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</row>
    <row r="869" spans="1:21" ht="15.75" thickBot="1" x14ac:dyDescent="0.3">
      <c r="A869" s="4"/>
      <c r="B869" s="4"/>
      <c r="C869" s="4"/>
      <c r="D869" s="4"/>
      <c r="E869" s="4"/>
      <c r="F869" s="4"/>
      <c r="G869" s="4"/>
      <c r="H869" s="4"/>
      <c r="I869" s="7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</row>
    <row r="870" spans="1:21" ht="15.75" thickBot="1" x14ac:dyDescent="0.3">
      <c r="A870" s="4"/>
      <c r="B870" s="4"/>
      <c r="C870" s="4"/>
      <c r="D870" s="4"/>
      <c r="E870" s="4"/>
      <c r="F870" s="4"/>
      <c r="G870" s="4"/>
      <c r="H870" s="4"/>
      <c r="I870" s="7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</row>
    <row r="871" spans="1:21" ht="15.75" thickBot="1" x14ac:dyDescent="0.3">
      <c r="A871" s="4"/>
      <c r="B871" s="4"/>
      <c r="C871" s="4"/>
      <c r="D871" s="4"/>
      <c r="E871" s="4"/>
      <c r="F871" s="4"/>
      <c r="G871" s="4"/>
      <c r="H871" s="4"/>
      <c r="I871" s="7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</row>
    <row r="872" spans="1:21" ht="15.75" thickBot="1" x14ac:dyDescent="0.3">
      <c r="A872" s="4"/>
      <c r="B872" s="4"/>
      <c r="C872" s="4"/>
      <c r="D872" s="4"/>
      <c r="E872" s="4"/>
      <c r="F872" s="4"/>
      <c r="G872" s="4"/>
      <c r="H872" s="4"/>
      <c r="I872" s="7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</row>
    <row r="873" spans="1:21" ht="15.75" thickBot="1" x14ac:dyDescent="0.3">
      <c r="A873" s="4"/>
      <c r="B873" s="4"/>
      <c r="C873" s="4"/>
      <c r="D873" s="4"/>
      <c r="E873" s="4"/>
      <c r="F873" s="4"/>
      <c r="G873" s="4"/>
      <c r="H873" s="4"/>
      <c r="I873" s="7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</row>
    <row r="874" spans="1:21" ht="15.75" thickBot="1" x14ac:dyDescent="0.3">
      <c r="A874" s="4"/>
      <c r="B874" s="4"/>
      <c r="C874" s="4"/>
      <c r="D874" s="4"/>
      <c r="E874" s="4"/>
      <c r="F874" s="4"/>
      <c r="G874" s="4"/>
      <c r="H874" s="4"/>
      <c r="I874" s="7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</row>
    <row r="875" spans="1:21" ht="15.75" thickBot="1" x14ac:dyDescent="0.3">
      <c r="A875" s="4"/>
      <c r="B875" s="4"/>
      <c r="C875" s="4"/>
      <c r="D875" s="4"/>
      <c r="E875" s="4"/>
      <c r="F875" s="4"/>
      <c r="G875" s="4"/>
      <c r="H875" s="4"/>
      <c r="I875" s="7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</row>
    <row r="876" spans="1:21" ht="15.75" thickBot="1" x14ac:dyDescent="0.3">
      <c r="A876" s="4"/>
      <c r="B876" s="4"/>
      <c r="C876" s="4"/>
      <c r="D876" s="4"/>
      <c r="E876" s="4"/>
      <c r="F876" s="4"/>
      <c r="G876" s="4"/>
      <c r="H876" s="4"/>
      <c r="I876" s="7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</row>
    <row r="877" spans="1:21" ht="15.75" thickBot="1" x14ac:dyDescent="0.3">
      <c r="A877" s="4"/>
      <c r="B877" s="4"/>
      <c r="C877" s="4"/>
      <c r="D877" s="4"/>
      <c r="E877" s="4"/>
      <c r="F877" s="4"/>
      <c r="G877" s="4"/>
      <c r="H877" s="4"/>
      <c r="I877" s="7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</row>
    <row r="878" spans="1:21" ht="15.75" thickBot="1" x14ac:dyDescent="0.3">
      <c r="A878" s="4"/>
      <c r="B878" s="4"/>
      <c r="C878" s="4"/>
      <c r="D878" s="4"/>
      <c r="E878" s="4"/>
      <c r="F878" s="4"/>
      <c r="G878" s="4"/>
      <c r="H878" s="4"/>
      <c r="I878" s="7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</row>
    <row r="879" spans="1:21" ht="15.75" thickBot="1" x14ac:dyDescent="0.3">
      <c r="A879" s="4"/>
      <c r="B879" s="4"/>
      <c r="C879" s="4"/>
      <c r="D879" s="4"/>
      <c r="E879" s="4"/>
      <c r="F879" s="4"/>
      <c r="G879" s="4"/>
      <c r="H879" s="4"/>
      <c r="I879" s="7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</row>
    <row r="880" spans="1:21" ht="15.75" thickBot="1" x14ac:dyDescent="0.3">
      <c r="A880" s="4"/>
      <c r="B880" s="4"/>
      <c r="C880" s="4"/>
      <c r="D880" s="4"/>
      <c r="E880" s="4"/>
      <c r="F880" s="4"/>
      <c r="G880" s="4"/>
      <c r="H880" s="4"/>
      <c r="I880" s="7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</row>
    <row r="881" spans="1:21" ht="15.75" thickBot="1" x14ac:dyDescent="0.3">
      <c r="A881" s="4"/>
      <c r="B881" s="4"/>
      <c r="C881" s="4"/>
      <c r="D881" s="4"/>
      <c r="E881" s="4"/>
      <c r="F881" s="4"/>
      <c r="G881" s="4"/>
      <c r="H881" s="4"/>
      <c r="I881" s="7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</row>
    <row r="882" spans="1:21" ht="15.75" thickBot="1" x14ac:dyDescent="0.3">
      <c r="A882" s="4"/>
      <c r="B882" s="4"/>
      <c r="C882" s="4"/>
      <c r="D882" s="4"/>
      <c r="E882" s="4"/>
      <c r="F882" s="4"/>
      <c r="G882" s="4"/>
      <c r="H882" s="4"/>
      <c r="I882" s="7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</row>
    <row r="883" spans="1:21" ht="15.75" thickBot="1" x14ac:dyDescent="0.3">
      <c r="A883" s="4"/>
      <c r="B883" s="4"/>
      <c r="C883" s="4"/>
      <c r="D883" s="4"/>
      <c r="E883" s="4"/>
      <c r="F883" s="4"/>
      <c r="G883" s="4"/>
      <c r="H883" s="4"/>
      <c r="I883" s="7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</row>
    <row r="884" spans="1:21" ht="15.75" thickBot="1" x14ac:dyDescent="0.3">
      <c r="A884" s="4"/>
      <c r="B884" s="4"/>
      <c r="C884" s="4"/>
      <c r="D884" s="4"/>
      <c r="E884" s="4"/>
      <c r="F884" s="4"/>
      <c r="G884" s="4"/>
      <c r="H884" s="4"/>
      <c r="I884" s="7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</row>
    <row r="885" spans="1:21" ht="15.75" thickBot="1" x14ac:dyDescent="0.3">
      <c r="A885" s="4"/>
      <c r="B885" s="4"/>
      <c r="C885" s="4"/>
      <c r="D885" s="4"/>
      <c r="E885" s="4"/>
      <c r="F885" s="4"/>
      <c r="G885" s="4"/>
      <c r="H885" s="4"/>
      <c r="I885" s="7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</row>
    <row r="886" spans="1:21" ht="15.75" thickBot="1" x14ac:dyDescent="0.3">
      <c r="A886" s="4"/>
      <c r="B886" s="4"/>
      <c r="C886" s="4"/>
      <c r="D886" s="4"/>
      <c r="E886" s="4"/>
      <c r="F886" s="4"/>
      <c r="G886" s="4"/>
      <c r="H886" s="4"/>
      <c r="I886" s="7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</row>
    <row r="887" spans="1:21" ht="15.75" thickBot="1" x14ac:dyDescent="0.3">
      <c r="A887" s="4"/>
      <c r="B887" s="4"/>
      <c r="C887" s="4"/>
      <c r="D887" s="4"/>
      <c r="E887" s="4"/>
      <c r="F887" s="4"/>
      <c r="G887" s="4"/>
      <c r="H887" s="4"/>
      <c r="I887" s="7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</row>
    <row r="888" spans="1:21" ht="15.75" thickBot="1" x14ac:dyDescent="0.3">
      <c r="A888" s="4"/>
      <c r="B888" s="4"/>
      <c r="C888" s="4"/>
      <c r="D888" s="4"/>
      <c r="E888" s="4"/>
      <c r="F888" s="4"/>
      <c r="G888" s="4"/>
      <c r="H888" s="4"/>
      <c r="I888" s="7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</row>
    <row r="889" spans="1:21" ht="15.75" thickBot="1" x14ac:dyDescent="0.3">
      <c r="A889" s="4"/>
      <c r="B889" s="4"/>
      <c r="C889" s="4"/>
      <c r="D889" s="4"/>
      <c r="E889" s="4"/>
      <c r="F889" s="4"/>
      <c r="G889" s="4"/>
      <c r="H889" s="4"/>
      <c r="I889" s="7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</row>
    <row r="890" spans="1:21" ht="15.75" thickBot="1" x14ac:dyDescent="0.3">
      <c r="A890" s="4"/>
      <c r="B890" s="4"/>
      <c r="C890" s="4"/>
      <c r="D890" s="4"/>
      <c r="E890" s="4"/>
      <c r="F890" s="4"/>
      <c r="G890" s="4"/>
      <c r="H890" s="4"/>
      <c r="I890" s="7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</row>
    <row r="891" spans="1:21" ht="15.75" thickBot="1" x14ac:dyDescent="0.3">
      <c r="A891" s="4"/>
      <c r="B891" s="4"/>
      <c r="C891" s="4"/>
      <c r="D891" s="4"/>
      <c r="E891" s="4"/>
      <c r="F891" s="4"/>
      <c r="G891" s="4"/>
      <c r="H891" s="4"/>
      <c r="I891" s="7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</row>
    <row r="892" spans="1:21" ht="15.75" thickBot="1" x14ac:dyDescent="0.3">
      <c r="A892" s="4"/>
      <c r="B892" s="4"/>
      <c r="C892" s="4"/>
      <c r="D892" s="4"/>
      <c r="E892" s="4"/>
      <c r="F892" s="4"/>
      <c r="G892" s="4"/>
      <c r="H892" s="4"/>
      <c r="I892" s="7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</row>
    <row r="893" spans="1:21" ht="15.75" thickBot="1" x14ac:dyDescent="0.3">
      <c r="A893" s="4"/>
      <c r="B893" s="4"/>
      <c r="C893" s="4"/>
      <c r="D893" s="4"/>
      <c r="E893" s="4"/>
      <c r="F893" s="4"/>
      <c r="G893" s="4"/>
      <c r="H893" s="4"/>
      <c r="I893" s="7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</row>
    <row r="894" spans="1:21" ht="15.75" thickBot="1" x14ac:dyDescent="0.3">
      <c r="A894" s="4"/>
      <c r="B894" s="4"/>
      <c r="C894" s="4"/>
      <c r="D894" s="4"/>
      <c r="E894" s="4"/>
      <c r="F894" s="4"/>
      <c r="G894" s="4"/>
      <c r="H894" s="4"/>
      <c r="I894" s="7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</row>
    <row r="895" spans="1:21" ht="15.75" thickBot="1" x14ac:dyDescent="0.3">
      <c r="A895" s="4"/>
      <c r="B895" s="4"/>
      <c r="C895" s="4"/>
      <c r="D895" s="4"/>
      <c r="E895" s="4"/>
      <c r="F895" s="4"/>
      <c r="G895" s="4"/>
      <c r="H895" s="4"/>
      <c r="I895" s="7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</row>
    <row r="896" spans="1:21" ht="15.75" thickBot="1" x14ac:dyDescent="0.3">
      <c r="A896" s="4"/>
      <c r="B896" s="4"/>
      <c r="C896" s="4"/>
      <c r="D896" s="4"/>
      <c r="E896" s="4"/>
      <c r="F896" s="4"/>
      <c r="G896" s="4"/>
      <c r="H896" s="4"/>
      <c r="I896" s="7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</row>
    <row r="897" spans="1:21" ht="15.75" thickBot="1" x14ac:dyDescent="0.3">
      <c r="A897" s="4"/>
      <c r="B897" s="4"/>
      <c r="C897" s="4"/>
      <c r="D897" s="4"/>
      <c r="E897" s="4"/>
      <c r="F897" s="4"/>
      <c r="G897" s="4"/>
      <c r="H897" s="4"/>
      <c r="I897" s="7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</row>
    <row r="898" spans="1:21" ht="15.75" thickBot="1" x14ac:dyDescent="0.3">
      <c r="A898" s="4"/>
      <c r="B898" s="4"/>
      <c r="C898" s="4"/>
      <c r="D898" s="4"/>
      <c r="E898" s="4"/>
      <c r="F898" s="4"/>
      <c r="G898" s="4"/>
      <c r="H898" s="4"/>
      <c r="I898" s="7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</row>
    <row r="899" spans="1:21" ht="15.75" thickBot="1" x14ac:dyDescent="0.3">
      <c r="A899" s="4"/>
      <c r="B899" s="4"/>
      <c r="C899" s="4"/>
      <c r="D899" s="4"/>
      <c r="E899" s="4"/>
      <c r="F899" s="4"/>
      <c r="G899" s="4"/>
      <c r="H899" s="4"/>
      <c r="I899" s="7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</row>
    <row r="900" spans="1:21" ht="15.75" thickBot="1" x14ac:dyDescent="0.3">
      <c r="A900" s="4"/>
      <c r="B900" s="4"/>
      <c r="C900" s="4"/>
      <c r="D900" s="4"/>
      <c r="E900" s="4"/>
      <c r="F900" s="4"/>
      <c r="G900" s="4"/>
      <c r="H900" s="4"/>
      <c r="I900" s="7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</row>
    <row r="901" spans="1:21" ht="15.75" thickBot="1" x14ac:dyDescent="0.3">
      <c r="A901" s="4"/>
      <c r="B901" s="4"/>
      <c r="C901" s="4"/>
      <c r="D901" s="4"/>
      <c r="E901" s="4"/>
      <c r="F901" s="4"/>
      <c r="G901" s="4"/>
      <c r="H901" s="4"/>
      <c r="I901" s="7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</row>
    <row r="902" spans="1:21" ht="15.75" thickBot="1" x14ac:dyDescent="0.3">
      <c r="A902" s="4"/>
      <c r="B902" s="4"/>
      <c r="C902" s="4"/>
      <c r="D902" s="4"/>
      <c r="E902" s="4"/>
      <c r="F902" s="4"/>
      <c r="G902" s="4"/>
      <c r="H902" s="4"/>
      <c r="I902" s="7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</row>
    <row r="903" spans="1:21" ht="15.75" thickBot="1" x14ac:dyDescent="0.3">
      <c r="A903" s="4"/>
      <c r="B903" s="4"/>
      <c r="C903" s="4"/>
      <c r="D903" s="4"/>
      <c r="E903" s="4"/>
      <c r="F903" s="4"/>
      <c r="G903" s="4"/>
      <c r="H903" s="4"/>
      <c r="I903" s="7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</row>
    <row r="904" spans="1:21" ht="15.75" thickBot="1" x14ac:dyDescent="0.3">
      <c r="A904" s="4"/>
      <c r="B904" s="4"/>
      <c r="C904" s="4"/>
      <c r="D904" s="4"/>
      <c r="E904" s="4"/>
      <c r="F904" s="4"/>
      <c r="G904" s="4"/>
      <c r="H904" s="4"/>
      <c r="I904" s="7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</row>
    <row r="905" spans="1:21" ht="15.75" thickBot="1" x14ac:dyDescent="0.3">
      <c r="A905" s="4"/>
      <c r="B905" s="4"/>
      <c r="C905" s="4"/>
      <c r="D905" s="4"/>
      <c r="E905" s="4"/>
      <c r="F905" s="4"/>
      <c r="G905" s="4"/>
      <c r="H905" s="4"/>
      <c r="I905" s="7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</row>
    <row r="906" spans="1:21" ht="15.75" thickBot="1" x14ac:dyDescent="0.3">
      <c r="A906" s="4"/>
      <c r="B906" s="4"/>
      <c r="C906" s="4"/>
      <c r="D906" s="4"/>
      <c r="E906" s="4"/>
      <c r="F906" s="4"/>
      <c r="G906" s="4"/>
      <c r="H906" s="4"/>
      <c r="I906" s="7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</row>
    <row r="907" spans="1:21" ht="15.75" thickBot="1" x14ac:dyDescent="0.3">
      <c r="A907" s="4"/>
      <c r="B907" s="4"/>
      <c r="C907" s="4"/>
      <c r="D907" s="4"/>
      <c r="E907" s="4"/>
      <c r="F907" s="4"/>
      <c r="G907" s="4"/>
      <c r="H907" s="4"/>
      <c r="I907" s="7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</row>
    <row r="908" spans="1:21" ht="15.75" thickBot="1" x14ac:dyDescent="0.3">
      <c r="A908" s="4"/>
      <c r="B908" s="4"/>
      <c r="C908" s="4"/>
      <c r="D908" s="4"/>
      <c r="E908" s="4"/>
      <c r="F908" s="4"/>
      <c r="G908" s="4"/>
      <c r="H908" s="4"/>
      <c r="I908" s="7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</row>
    <row r="909" spans="1:21" ht="15.75" thickBot="1" x14ac:dyDescent="0.3">
      <c r="A909" s="4"/>
      <c r="B909" s="4"/>
      <c r="C909" s="4"/>
      <c r="D909" s="4"/>
      <c r="E909" s="4"/>
      <c r="F909" s="4"/>
      <c r="G909" s="4"/>
      <c r="H909" s="4"/>
      <c r="I909" s="7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</row>
    <row r="910" spans="1:21" ht="15.75" thickBot="1" x14ac:dyDescent="0.3">
      <c r="A910" s="4"/>
      <c r="B910" s="4"/>
      <c r="C910" s="4"/>
      <c r="D910" s="4"/>
      <c r="E910" s="4"/>
      <c r="F910" s="4"/>
      <c r="G910" s="4"/>
      <c r="H910" s="4"/>
      <c r="I910" s="7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</row>
    <row r="911" spans="1:21" ht="15.75" thickBot="1" x14ac:dyDescent="0.3">
      <c r="A911" s="4"/>
      <c r="B911" s="4"/>
      <c r="C911" s="4"/>
      <c r="D911" s="4"/>
      <c r="E911" s="4"/>
      <c r="F911" s="4"/>
      <c r="G911" s="4"/>
      <c r="H911" s="4"/>
      <c r="I911" s="7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</row>
    <row r="912" spans="1:21" ht="15.75" thickBot="1" x14ac:dyDescent="0.3">
      <c r="A912" s="4"/>
      <c r="B912" s="4"/>
      <c r="C912" s="4"/>
      <c r="D912" s="4"/>
      <c r="E912" s="4"/>
      <c r="F912" s="4"/>
      <c r="G912" s="4"/>
      <c r="H912" s="4"/>
      <c r="I912" s="7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</row>
    <row r="913" spans="1:21" ht="15.75" thickBot="1" x14ac:dyDescent="0.3">
      <c r="A913" s="4"/>
      <c r="B913" s="4"/>
      <c r="C913" s="4"/>
      <c r="D913" s="4"/>
      <c r="E913" s="4"/>
      <c r="F913" s="4"/>
      <c r="G913" s="4"/>
      <c r="H913" s="4"/>
      <c r="I913" s="7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</row>
    <row r="914" spans="1:21" ht="15.75" thickBot="1" x14ac:dyDescent="0.3">
      <c r="A914" s="4"/>
      <c r="B914" s="4"/>
      <c r="C914" s="4"/>
      <c r="D914" s="4"/>
      <c r="E914" s="4"/>
      <c r="F914" s="4"/>
      <c r="G914" s="4"/>
      <c r="H914" s="4"/>
      <c r="I914" s="7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</row>
    <row r="915" spans="1:21" ht="15.75" thickBot="1" x14ac:dyDescent="0.3">
      <c r="A915" s="4"/>
      <c r="B915" s="4"/>
      <c r="C915" s="4"/>
      <c r="D915" s="4"/>
      <c r="E915" s="4"/>
      <c r="F915" s="4"/>
      <c r="G915" s="4"/>
      <c r="H915" s="4"/>
      <c r="I915" s="7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</row>
    <row r="916" spans="1:21" ht="15.75" thickBot="1" x14ac:dyDescent="0.3">
      <c r="A916" s="4"/>
      <c r="B916" s="4"/>
      <c r="C916" s="4"/>
      <c r="D916" s="4"/>
      <c r="E916" s="4"/>
      <c r="F916" s="4"/>
      <c r="G916" s="4"/>
      <c r="H916" s="4"/>
      <c r="I916" s="7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</row>
    <row r="917" spans="1:21" ht="15.75" thickBot="1" x14ac:dyDescent="0.3">
      <c r="A917" s="4"/>
      <c r="B917" s="4"/>
      <c r="C917" s="4"/>
      <c r="D917" s="4"/>
      <c r="E917" s="4"/>
      <c r="F917" s="4"/>
      <c r="G917" s="4"/>
      <c r="H917" s="4"/>
      <c r="I917" s="7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</row>
    <row r="918" spans="1:21" ht="15.75" thickBot="1" x14ac:dyDescent="0.3">
      <c r="A918" s="4"/>
      <c r="B918" s="4"/>
      <c r="C918" s="4"/>
      <c r="D918" s="4"/>
      <c r="E918" s="4"/>
      <c r="F918" s="4"/>
      <c r="G918" s="4"/>
      <c r="H918" s="4"/>
      <c r="I918" s="7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</row>
    <row r="919" spans="1:21" ht="15.75" thickBot="1" x14ac:dyDescent="0.3">
      <c r="A919" s="4"/>
      <c r="B919" s="4"/>
      <c r="C919" s="4"/>
      <c r="D919" s="4"/>
      <c r="E919" s="4"/>
      <c r="F919" s="4"/>
      <c r="G919" s="4"/>
      <c r="H919" s="4"/>
      <c r="I919" s="7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</row>
    <row r="920" spans="1:21" ht="15.75" thickBot="1" x14ac:dyDescent="0.3">
      <c r="A920" s="4"/>
      <c r="B920" s="4"/>
      <c r="C920" s="4"/>
      <c r="D920" s="4"/>
      <c r="E920" s="4"/>
      <c r="F920" s="4"/>
      <c r="G920" s="4"/>
      <c r="H920" s="4"/>
      <c r="I920" s="7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</row>
    <row r="921" spans="1:21" ht="15.75" thickBot="1" x14ac:dyDescent="0.3">
      <c r="A921" s="4"/>
      <c r="B921" s="4"/>
      <c r="C921" s="4"/>
      <c r="D921" s="4"/>
      <c r="E921" s="4"/>
      <c r="F921" s="4"/>
      <c r="G921" s="4"/>
      <c r="H921" s="4"/>
      <c r="I921" s="7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</row>
    <row r="922" spans="1:21" ht="15.75" thickBot="1" x14ac:dyDescent="0.3">
      <c r="A922" s="4"/>
      <c r="B922" s="4"/>
      <c r="C922" s="4"/>
      <c r="D922" s="4"/>
      <c r="E922" s="4"/>
      <c r="F922" s="4"/>
      <c r="G922" s="4"/>
      <c r="H922" s="4"/>
      <c r="I922" s="7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</row>
    <row r="923" spans="1:21" ht="15.75" thickBot="1" x14ac:dyDescent="0.3">
      <c r="A923" s="4"/>
      <c r="B923" s="4"/>
      <c r="C923" s="4"/>
      <c r="D923" s="4"/>
      <c r="E923" s="4"/>
      <c r="F923" s="4"/>
      <c r="G923" s="4"/>
      <c r="H923" s="4"/>
      <c r="I923" s="7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</row>
    <row r="924" spans="1:21" ht="15.75" thickBot="1" x14ac:dyDescent="0.3">
      <c r="A924" s="4"/>
      <c r="B924" s="4"/>
      <c r="C924" s="4"/>
      <c r="D924" s="4"/>
      <c r="E924" s="4"/>
      <c r="F924" s="4"/>
      <c r="G924" s="4"/>
      <c r="H924" s="4"/>
      <c r="I924" s="7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</row>
    <row r="925" spans="1:21" ht="15.75" thickBot="1" x14ac:dyDescent="0.3">
      <c r="A925" s="4"/>
      <c r="B925" s="4"/>
      <c r="C925" s="4"/>
      <c r="D925" s="4"/>
      <c r="E925" s="4"/>
      <c r="F925" s="4"/>
      <c r="G925" s="4"/>
      <c r="H925" s="4"/>
      <c r="I925" s="7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</row>
    <row r="926" spans="1:21" ht="15.75" thickBot="1" x14ac:dyDescent="0.3">
      <c r="A926" s="4"/>
      <c r="B926" s="4"/>
      <c r="C926" s="4"/>
      <c r="D926" s="4"/>
      <c r="E926" s="4"/>
      <c r="F926" s="4"/>
      <c r="G926" s="4"/>
      <c r="H926" s="4"/>
      <c r="I926" s="7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</row>
    <row r="927" spans="1:21" ht="15.75" thickBot="1" x14ac:dyDescent="0.3">
      <c r="A927" s="4"/>
      <c r="B927" s="4"/>
      <c r="C927" s="4"/>
      <c r="D927" s="4"/>
      <c r="E927" s="4"/>
      <c r="F927" s="4"/>
      <c r="G927" s="4"/>
      <c r="H927" s="4"/>
      <c r="I927" s="7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</row>
    <row r="928" spans="1:21" ht="15.75" thickBot="1" x14ac:dyDescent="0.3">
      <c r="A928" s="4"/>
      <c r="B928" s="4"/>
      <c r="C928" s="4"/>
      <c r="D928" s="4"/>
      <c r="E928" s="4"/>
      <c r="F928" s="4"/>
      <c r="G928" s="4"/>
      <c r="H928" s="4"/>
      <c r="I928" s="7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</row>
    <row r="929" spans="1:21" ht="15.75" thickBot="1" x14ac:dyDescent="0.3">
      <c r="A929" s="4"/>
      <c r="B929" s="4"/>
      <c r="C929" s="4"/>
      <c r="D929" s="4"/>
      <c r="E929" s="4"/>
      <c r="F929" s="4"/>
      <c r="G929" s="4"/>
      <c r="H929" s="4"/>
      <c r="I929" s="7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</row>
    <row r="930" spans="1:21" ht="15.75" thickBot="1" x14ac:dyDescent="0.3">
      <c r="A930" s="4"/>
      <c r="B930" s="4"/>
      <c r="C930" s="4"/>
      <c r="D930" s="4"/>
      <c r="E930" s="4"/>
      <c r="F930" s="4"/>
      <c r="G930" s="4"/>
      <c r="H930" s="4"/>
      <c r="I930" s="7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</row>
    <row r="931" spans="1:21" ht="15.75" thickBot="1" x14ac:dyDescent="0.3">
      <c r="A931" s="4"/>
      <c r="B931" s="4"/>
      <c r="C931" s="4"/>
      <c r="D931" s="4"/>
      <c r="E931" s="4"/>
      <c r="F931" s="4"/>
      <c r="G931" s="4"/>
      <c r="H931" s="4"/>
      <c r="I931" s="7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</row>
    <row r="932" spans="1:21" ht="15.75" thickBot="1" x14ac:dyDescent="0.3">
      <c r="A932" s="4"/>
      <c r="B932" s="4"/>
      <c r="C932" s="4"/>
      <c r="D932" s="4"/>
      <c r="E932" s="4"/>
      <c r="F932" s="4"/>
      <c r="G932" s="4"/>
      <c r="H932" s="4"/>
      <c r="I932" s="7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</row>
    <row r="933" spans="1:21" ht="15.75" thickBot="1" x14ac:dyDescent="0.3">
      <c r="A933" s="4"/>
      <c r="B933" s="4"/>
      <c r="C933" s="4"/>
      <c r="D933" s="4"/>
      <c r="E933" s="4"/>
      <c r="F933" s="4"/>
      <c r="G933" s="4"/>
      <c r="H933" s="4"/>
      <c r="I933" s="7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</row>
    <row r="934" spans="1:21" ht="15.75" thickBot="1" x14ac:dyDescent="0.3">
      <c r="A934" s="4"/>
      <c r="B934" s="4"/>
      <c r="C934" s="4"/>
      <c r="D934" s="4"/>
      <c r="E934" s="4"/>
      <c r="F934" s="4"/>
      <c r="G934" s="4"/>
      <c r="H934" s="4"/>
      <c r="I934" s="7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</row>
    <row r="935" spans="1:21" ht="15.75" thickBot="1" x14ac:dyDescent="0.3">
      <c r="A935" s="4"/>
      <c r="B935" s="4"/>
      <c r="C935" s="4"/>
      <c r="D935" s="4"/>
      <c r="E935" s="4"/>
      <c r="F935" s="4"/>
      <c r="G935" s="4"/>
      <c r="H935" s="4"/>
      <c r="I935" s="7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</row>
    <row r="936" spans="1:21" ht="15.75" thickBot="1" x14ac:dyDescent="0.3">
      <c r="A936" s="4"/>
      <c r="B936" s="4"/>
      <c r="C936" s="4"/>
      <c r="D936" s="4"/>
      <c r="E936" s="4"/>
      <c r="F936" s="4"/>
      <c r="G936" s="4"/>
      <c r="H936" s="4"/>
      <c r="I936" s="7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</row>
    <row r="937" spans="1:21" ht="15.75" thickBot="1" x14ac:dyDescent="0.3">
      <c r="A937" s="4"/>
      <c r="B937" s="4"/>
      <c r="C937" s="4"/>
      <c r="D937" s="4"/>
      <c r="E937" s="4"/>
      <c r="F937" s="4"/>
      <c r="G937" s="4"/>
      <c r="H937" s="4"/>
      <c r="I937" s="7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</row>
    <row r="938" spans="1:21" ht="15.75" thickBot="1" x14ac:dyDescent="0.3">
      <c r="A938" s="4"/>
      <c r="B938" s="4"/>
      <c r="C938" s="4"/>
      <c r="D938" s="4"/>
      <c r="E938" s="4"/>
      <c r="F938" s="4"/>
      <c r="G938" s="4"/>
      <c r="H938" s="4"/>
      <c r="I938" s="7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</row>
    <row r="939" spans="1:21" ht="15.75" thickBot="1" x14ac:dyDescent="0.3">
      <c r="A939" s="4"/>
      <c r="B939" s="4"/>
      <c r="C939" s="4"/>
      <c r="D939" s="4"/>
      <c r="E939" s="4"/>
      <c r="F939" s="4"/>
      <c r="G939" s="4"/>
      <c r="H939" s="4"/>
      <c r="I939" s="7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</row>
    <row r="940" spans="1:21" ht="15.75" thickBot="1" x14ac:dyDescent="0.3">
      <c r="A940" s="4"/>
      <c r="B940" s="4"/>
      <c r="C940" s="4"/>
      <c r="D940" s="4"/>
      <c r="E940" s="4"/>
      <c r="F940" s="4"/>
      <c r="G940" s="4"/>
      <c r="H940" s="4"/>
      <c r="I940" s="7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</row>
    <row r="941" spans="1:21" ht="15.75" thickBot="1" x14ac:dyDescent="0.3">
      <c r="A941" s="4"/>
      <c r="B941" s="4"/>
      <c r="C941" s="4"/>
      <c r="D941" s="4"/>
      <c r="E941" s="4"/>
      <c r="F941" s="4"/>
      <c r="G941" s="4"/>
      <c r="H941" s="4"/>
      <c r="I941" s="7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</row>
    <row r="942" spans="1:21" ht="15.75" thickBot="1" x14ac:dyDescent="0.3">
      <c r="A942" s="4"/>
      <c r="B942" s="4"/>
      <c r="C942" s="4"/>
      <c r="D942" s="4"/>
      <c r="E942" s="4"/>
      <c r="F942" s="4"/>
      <c r="G942" s="4"/>
      <c r="H942" s="4"/>
      <c r="I942" s="7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</row>
    <row r="943" spans="1:21" ht="15.75" thickBot="1" x14ac:dyDescent="0.3">
      <c r="A943" s="4"/>
      <c r="B943" s="4"/>
      <c r="C943" s="4"/>
      <c r="D943" s="4"/>
      <c r="E943" s="4"/>
      <c r="F943" s="4"/>
      <c r="G943" s="4"/>
      <c r="H943" s="4"/>
      <c r="I943" s="7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</row>
    <row r="944" spans="1:21" ht="15.75" thickBot="1" x14ac:dyDescent="0.3">
      <c r="A944" s="4"/>
      <c r="B944" s="4"/>
      <c r="C944" s="4"/>
      <c r="D944" s="4"/>
      <c r="E944" s="4"/>
      <c r="F944" s="4"/>
      <c r="G944" s="4"/>
      <c r="H944" s="4"/>
      <c r="I944" s="7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</row>
    <row r="945" spans="1:21" ht="15.75" thickBot="1" x14ac:dyDescent="0.3">
      <c r="A945" s="4"/>
      <c r="B945" s="4"/>
      <c r="C945" s="4"/>
      <c r="D945" s="4"/>
      <c r="E945" s="4"/>
      <c r="F945" s="4"/>
      <c r="G945" s="4"/>
      <c r="H945" s="4"/>
      <c r="I945" s="7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</row>
    <row r="946" spans="1:21" ht="15.75" thickBot="1" x14ac:dyDescent="0.3">
      <c r="A946" s="4"/>
      <c r="B946" s="4"/>
      <c r="C946" s="4"/>
      <c r="D946" s="4"/>
      <c r="E946" s="4"/>
      <c r="F946" s="4"/>
      <c r="G946" s="4"/>
      <c r="H946" s="4"/>
      <c r="I946" s="7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</row>
    <row r="947" spans="1:21" ht="15.75" thickBot="1" x14ac:dyDescent="0.3">
      <c r="A947" s="4"/>
      <c r="B947" s="4"/>
      <c r="C947" s="4"/>
      <c r="D947" s="4"/>
      <c r="E947" s="4"/>
      <c r="F947" s="4"/>
      <c r="G947" s="4"/>
      <c r="H947" s="4"/>
      <c r="I947" s="7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</row>
    <row r="948" spans="1:21" ht="15.75" thickBot="1" x14ac:dyDescent="0.3">
      <c r="A948" s="4"/>
      <c r="B948" s="4"/>
      <c r="C948" s="4"/>
      <c r="D948" s="4"/>
      <c r="E948" s="4"/>
      <c r="F948" s="4"/>
      <c r="G948" s="4"/>
      <c r="H948" s="4"/>
      <c r="I948" s="7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</row>
    <row r="949" spans="1:21" ht="15.75" thickBot="1" x14ac:dyDescent="0.3">
      <c r="A949" s="4"/>
      <c r="B949" s="4"/>
      <c r="C949" s="4"/>
      <c r="D949" s="4"/>
      <c r="E949" s="4"/>
      <c r="F949" s="4"/>
      <c r="G949" s="4"/>
      <c r="H949" s="4"/>
      <c r="I949" s="7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</row>
    <row r="950" spans="1:21" ht="15.75" thickBot="1" x14ac:dyDescent="0.3">
      <c r="A950" s="4"/>
      <c r="B950" s="4"/>
      <c r="C950" s="4"/>
      <c r="D950" s="4"/>
      <c r="E950" s="4"/>
      <c r="F950" s="4"/>
      <c r="G950" s="4"/>
      <c r="H950" s="4"/>
      <c r="I950" s="7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</row>
    <row r="951" spans="1:21" ht="15.75" thickBot="1" x14ac:dyDescent="0.3">
      <c r="A951" s="4"/>
      <c r="B951" s="4"/>
      <c r="C951" s="4"/>
      <c r="D951" s="4"/>
      <c r="E951" s="4"/>
      <c r="F951" s="4"/>
      <c r="G951" s="4"/>
      <c r="H951" s="4"/>
      <c r="I951" s="7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</row>
    <row r="952" spans="1:21" ht="15.75" thickBot="1" x14ac:dyDescent="0.3">
      <c r="A952" s="4"/>
      <c r="B952" s="4"/>
      <c r="C952" s="4"/>
      <c r="D952" s="4"/>
      <c r="E952" s="4"/>
      <c r="F952" s="4"/>
      <c r="G952" s="4"/>
      <c r="H952" s="4"/>
      <c r="I952" s="7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</row>
    <row r="953" spans="1:21" ht="15.75" thickBot="1" x14ac:dyDescent="0.3">
      <c r="A953" s="4"/>
      <c r="B953" s="4"/>
      <c r="C953" s="4"/>
      <c r="D953" s="4"/>
      <c r="E953" s="4"/>
      <c r="F953" s="4"/>
      <c r="G953" s="4"/>
      <c r="H953" s="4"/>
      <c r="I953" s="7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</row>
    <row r="954" spans="1:21" ht="15.75" thickBot="1" x14ac:dyDescent="0.3">
      <c r="A954" s="4"/>
      <c r="B954" s="4"/>
      <c r="C954" s="4"/>
      <c r="D954" s="4"/>
      <c r="E954" s="4"/>
      <c r="F954" s="4"/>
      <c r="G954" s="4"/>
      <c r="H954" s="4"/>
      <c r="I954" s="7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</row>
    <row r="955" spans="1:21" ht="15.75" thickBot="1" x14ac:dyDescent="0.3">
      <c r="A955" s="4"/>
      <c r="B955" s="4"/>
      <c r="C955" s="4"/>
      <c r="D955" s="4"/>
      <c r="E955" s="4"/>
      <c r="F955" s="4"/>
      <c r="G955" s="4"/>
      <c r="H955" s="4"/>
      <c r="I955" s="7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</row>
    <row r="956" spans="1:21" ht="15.75" thickBot="1" x14ac:dyDescent="0.3">
      <c r="A956" s="4"/>
      <c r="B956" s="4"/>
      <c r="C956" s="4"/>
      <c r="D956" s="4"/>
      <c r="E956" s="4"/>
      <c r="F956" s="4"/>
      <c r="G956" s="4"/>
      <c r="H956" s="4"/>
      <c r="I956" s="7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</row>
    <row r="957" spans="1:21" ht="15.75" thickBot="1" x14ac:dyDescent="0.3">
      <c r="A957" s="4"/>
      <c r="B957" s="4"/>
      <c r="C957" s="4"/>
      <c r="D957" s="4"/>
      <c r="E957" s="4"/>
      <c r="F957" s="4"/>
      <c r="G957" s="4"/>
      <c r="H957" s="4"/>
      <c r="I957" s="7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</row>
    <row r="958" spans="1:21" ht="15.75" thickBot="1" x14ac:dyDescent="0.3">
      <c r="A958" s="4"/>
      <c r="B958" s="4"/>
      <c r="C958" s="4"/>
      <c r="D958" s="4"/>
      <c r="E958" s="4"/>
      <c r="F958" s="4"/>
      <c r="G958" s="4"/>
      <c r="H958" s="4"/>
      <c r="I958" s="7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</row>
    <row r="959" spans="1:21" ht="15.75" thickBot="1" x14ac:dyDescent="0.3">
      <c r="A959" s="4"/>
      <c r="B959" s="4"/>
      <c r="C959" s="4"/>
      <c r="D959" s="4"/>
      <c r="E959" s="4"/>
      <c r="F959" s="4"/>
      <c r="G959" s="4"/>
      <c r="H959" s="4"/>
      <c r="I959" s="7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</row>
    <row r="960" spans="1:21" ht="15.75" thickBot="1" x14ac:dyDescent="0.3">
      <c r="A960" s="4"/>
      <c r="B960" s="4"/>
      <c r="C960" s="4"/>
      <c r="D960" s="4"/>
      <c r="E960" s="4"/>
      <c r="F960" s="4"/>
      <c r="G960" s="4"/>
      <c r="H960" s="4"/>
      <c r="I960" s="7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</row>
    <row r="961" spans="1:21" ht="15.75" thickBot="1" x14ac:dyDescent="0.3">
      <c r="A961" s="4"/>
      <c r="B961" s="4"/>
      <c r="C961" s="4"/>
      <c r="D961" s="4"/>
      <c r="E961" s="4"/>
      <c r="F961" s="4"/>
      <c r="G961" s="4"/>
      <c r="H961" s="4"/>
      <c r="I961" s="7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</row>
    <row r="962" spans="1:21" ht="15.75" thickBot="1" x14ac:dyDescent="0.3">
      <c r="A962" s="4"/>
      <c r="B962" s="4"/>
      <c r="C962" s="4"/>
      <c r="D962" s="4"/>
      <c r="E962" s="4"/>
      <c r="F962" s="4"/>
      <c r="G962" s="4"/>
      <c r="H962" s="4"/>
      <c r="I962" s="7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</row>
    <row r="963" spans="1:21" ht="15.75" thickBot="1" x14ac:dyDescent="0.3">
      <c r="A963" s="4"/>
      <c r="B963" s="4"/>
      <c r="C963" s="4"/>
      <c r="D963" s="4"/>
      <c r="E963" s="4"/>
      <c r="F963" s="4"/>
      <c r="G963" s="4"/>
      <c r="H963" s="4"/>
      <c r="I963" s="7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</row>
    <row r="964" spans="1:21" ht="15.75" thickBot="1" x14ac:dyDescent="0.3">
      <c r="A964" s="4"/>
      <c r="B964" s="4"/>
      <c r="C964" s="4"/>
      <c r="D964" s="4"/>
      <c r="E964" s="4"/>
      <c r="F964" s="4"/>
      <c r="G964" s="4"/>
      <c r="H964" s="4"/>
      <c r="I964" s="7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</row>
    <row r="965" spans="1:21" ht="15.75" thickBot="1" x14ac:dyDescent="0.3">
      <c r="A965" s="4"/>
      <c r="B965" s="4"/>
      <c r="C965" s="4"/>
      <c r="D965" s="4"/>
      <c r="E965" s="4"/>
      <c r="F965" s="4"/>
      <c r="G965" s="4"/>
      <c r="H965" s="4"/>
      <c r="I965" s="7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</row>
    <row r="966" spans="1:21" ht="15.75" thickBot="1" x14ac:dyDescent="0.3">
      <c r="A966" s="4"/>
      <c r="B966" s="4"/>
      <c r="C966" s="4"/>
      <c r="D966" s="4"/>
      <c r="E966" s="4"/>
      <c r="F966" s="4"/>
      <c r="G966" s="4"/>
      <c r="H966" s="4"/>
      <c r="I966" s="7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</row>
    <row r="967" spans="1:21" ht="15.75" thickBot="1" x14ac:dyDescent="0.3">
      <c r="A967" s="4"/>
      <c r="B967" s="4"/>
      <c r="C967" s="4"/>
      <c r="D967" s="4"/>
      <c r="E967" s="4"/>
      <c r="F967" s="4"/>
      <c r="G967" s="4"/>
      <c r="H967" s="4"/>
      <c r="I967" s="7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</row>
    <row r="968" spans="1:21" ht="15.75" thickBot="1" x14ac:dyDescent="0.3">
      <c r="A968" s="4"/>
      <c r="B968" s="4"/>
      <c r="C968" s="4"/>
      <c r="D968" s="4"/>
      <c r="E968" s="4"/>
      <c r="F968" s="4"/>
      <c r="G968" s="4"/>
      <c r="H968" s="4"/>
      <c r="I968" s="7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</row>
    <row r="969" spans="1:21" ht="15.75" thickBot="1" x14ac:dyDescent="0.3">
      <c r="A969" s="4"/>
      <c r="B969" s="4"/>
      <c r="C969" s="4"/>
      <c r="D969" s="4"/>
      <c r="E969" s="4"/>
      <c r="F969" s="4"/>
      <c r="G969" s="4"/>
      <c r="H969" s="4"/>
      <c r="I969" s="7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</row>
    <row r="970" spans="1:21" ht="15.75" thickBot="1" x14ac:dyDescent="0.3">
      <c r="A970" s="4"/>
      <c r="B970" s="4"/>
      <c r="C970" s="4"/>
      <c r="D970" s="4"/>
      <c r="E970" s="4"/>
      <c r="F970" s="4"/>
      <c r="G970" s="4"/>
      <c r="H970" s="4"/>
      <c r="I970" s="7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</row>
    <row r="971" spans="1:21" ht="15.75" thickBot="1" x14ac:dyDescent="0.3">
      <c r="A971" s="4"/>
      <c r="B971" s="4"/>
      <c r="C971" s="4"/>
      <c r="D971" s="4"/>
      <c r="E971" s="4"/>
      <c r="F971" s="4"/>
      <c r="G971" s="4"/>
      <c r="H971" s="4"/>
      <c r="I971" s="7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</row>
    <row r="972" spans="1:21" ht="15.75" thickBot="1" x14ac:dyDescent="0.3">
      <c r="A972" s="4"/>
      <c r="B972" s="4"/>
      <c r="C972" s="4"/>
      <c r="D972" s="4"/>
      <c r="E972" s="4"/>
      <c r="F972" s="4"/>
      <c r="G972" s="4"/>
      <c r="H972" s="4"/>
      <c r="I972" s="7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</row>
    <row r="973" spans="1:21" ht="15.75" thickBot="1" x14ac:dyDescent="0.3">
      <c r="A973" s="4"/>
      <c r="B973" s="4"/>
      <c r="C973" s="4"/>
      <c r="D973" s="4"/>
      <c r="E973" s="4"/>
      <c r="F973" s="4"/>
      <c r="G973" s="4"/>
      <c r="H973" s="4"/>
      <c r="I973" s="7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</row>
    <row r="974" spans="1:21" ht="15.75" thickBot="1" x14ac:dyDescent="0.3">
      <c r="A974" s="4"/>
      <c r="B974" s="4"/>
      <c r="C974" s="4"/>
      <c r="D974" s="4"/>
      <c r="E974" s="4"/>
      <c r="F974" s="4"/>
      <c r="G974" s="4"/>
      <c r="H974" s="4"/>
      <c r="I974" s="7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</row>
    <row r="975" spans="1:21" ht="15.75" thickBot="1" x14ac:dyDescent="0.3">
      <c r="A975" s="4"/>
      <c r="B975" s="4"/>
      <c r="C975" s="4"/>
      <c r="D975" s="4"/>
      <c r="E975" s="4"/>
      <c r="F975" s="4"/>
      <c r="G975" s="4"/>
      <c r="H975" s="4"/>
      <c r="I975" s="7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</row>
    <row r="976" spans="1:21" ht="15.75" thickBot="1" x14ac:dyDescent="0.3">
      <c r="A976" s="4"/>
      <c r="B976" s="4"/>
      <c r="C976" s="4"/>
      <c r="D976" s="4"/>
      <c r="E976" s="4"/>
      <c r="F976" s="4"/>
      <c r="G976" s="4"/>
      <c r="H976" s="4"/>
      <c r="I976" s="7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</row>
    <row r="977" spans="1:21" ht="15.75" thickBot="1" x14ac:dyDescent="0.3">
      <c r="A977" s="4"/>
      <c r="B977" s="4"/>
      <c r="C977" s="4"/>
      <c r="D977" s="4"/>
      <c r="E977" s="4"/>
      <c r="F977" s="4"/>
      <c r="G977" s="4"/>
      <c r="H977" s="4"/>
      <c r="I977" s="7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</row>
    <row r="978" spans="1:21" ht="15.75" thickBot="1" x14ac:dyDescent="0.3">
      <c r="A978" s="4"/>
      <c r="B978" s="4"/>
      <c r="C978" s="4"/>
      <c r="D978" s="4"/>
      <c r="E978" s="4"/>
      <c r="F978" s="4"/>
      <c r="G978" s="4"/>
      <c r="H978" s="4"/>
      <c r="I978" s="7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</row>
    <row r="979" spans="1:21" ht="15.75" thickBot="1" x14ac:dyDescent="0.3">
      <c r="A979" s="4"/>
      <c r="B979" s="4"/>
      <c r="C979" s="4"/>
      <c r="D979" s="4"/>
      <c r="E979" s="4"/>
      <c r="F979" s="4"/>
      <c r="G979" s="4"/>
      <c r="H979" s="4"/>
      <c r="I979" s="7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</row>
    <row r="980" spans="1:21" ht="15.75" thickBot="1" x14ac:dyDescent="0.3">
      <c r="A980" s="4"/>
      <c r="B980" s="4"/>
      <c r="C980" s="4"/>
      <c r="D980" s="4"/>
      <c r="E980" s="4"/>
      <c r="F980" s="4"/>
      <c r="G980" s="4"/>
      <c r="H980" s="4"/>
      <c r="I980" s="7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</row>
    <row r="981" spans="1:21" ht="15.75" thickBot="1" x14ac:dyDescent="0.3">
      <c r="A981" s="4"/>
      <c r="B981" s="4"/>
      <c r="C981" s="4"/>
      <c r="D981" s="4"/>
      <c r="E981" s="4"/>
      <c r="F981" s="4"/>
      <c r="G981" s="4"/>
      <c r="H981" s="4"/>
      <c r="I981" s="7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</row>
    <row r="982" spans="1:21" ht="15.75" thickBot="1" x14ac:dyDescent="0.3">
      <c r="A982" s="4"/>
      <c r="B982" s="4"/>
      <c r="C982" s="4"/>
      <c r="D982" s="4"/>
      <c r="E982" s="4"/>
      <c r="F982" s="4"/>
      <c r="G982" s="4"/>
      <c r="H982" s="4"/>
      <c r="I982" s="7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</row>
    <row r="983" spans="1:21" ht="15.75" thickBot="1" x14ac:dyDescent="0.3">
      <c r="A983" s="4"/>
      <c r="B983" s="4"/>
      <c r="C983" s="4"/>
      <c r="D983" s="4"/>
      <c r="E983" s="4"/>
      <c r="F983" s="4"/>
      <c r="G983" s="4"/>
      <c r="H983" s="4"/>
      <c r="I983" s="7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</row>
    <row r="984" spans="1:21" ht="15.75" thickBot="1" x14ac:dyDescent="0.3">
      <c r="A984" s="4"/>
      <c r="B984" s="4"/>
      <c r="C984" s="4"/>
      <c r="D984" s="4"/>
      <c r="E984" s="4"/>
      <c r="F984" s="4"/>
      <c r="G984" s="4"/>
      <c r="H984" s="4"/>
      <c r="I984" s="7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</row>
    <row r="985" spans="1:21" ht="15.75" thickBot="1" x14ac:dyDescent="0.3">
      <c r="A985" s="4"/>
      <c r="B985" s="4"/>
      <c r="C985" s="4"/>
      <c r="D985" s="4"/>
      <c r="E985" s="4"/>
      <c r="F985" s="4"/>
      <c r="G985" s="4"/>
      <c r="H985" s="4"/>
      <c r="I985" s="7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</row>
    <row r="986" spans="1:21" ht="15.75" thickBot="1" x14ac:dyDescent="0.3">
      <c r="A986" s="4"/>
      <c r="B986" s="4"/>
      <c r="C986" s="4"/>
      <c r="D986" s="4"/>
      <c r="E986" s="4"/>
      <c r="F986" s="4"/>
      <c r="G986" s="4"/>
      <c r="H986" s="4"/>
      <c r="I986" s="7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</row>
    <row r="987" spans="1:21" ht="15.75" thickBot="1" x14ac:dyDescent="0.3">
      <c r="A987" s="4"/>
      <c r="B987" s="4"/>
      <c r="C987" s="4"/>
      <c r="D987" s="4"/>
      <c r="E987" s="4"/>
      <c r="F987" s="4"/>
      <c r="G987" s="4"/>
      <c r="H987" s="4"/>
      <c r="I987" s="7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</row>
    <row r="988" spans="1:21" ht="15.75" thickBot="1" x14ac:dyDescent="0.3">
      <c r="A988" s="4"/>
      <c r="B988" s="4"/>
      <c r="C988" s="4"/>
      <c r="D988" s="4"/>
      <c r="E988" s="4"/>
      <c r="F988" s="4"/>
      <c r="G988" s="4"/>
      <c r="H988" s="4"/>
      <c r="I988" s="7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</row>
    <row r="989" spans="1:21" ht="15.75" thickBot="1" x14ac:dyDescent="0.3">
      <c r="A989" s="4"/>
      <c r="B989" s="4"/>
      <c r="C989" s="4"/>
      <c r="D989" s="4"/>
      <c r="E989" s="4"/>
      <c r="F989" s="4"/>
      <c r="G989" s="4"/>
      <c r="H989" s="4"/>
      <c r="I989" s="7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</row>
    <row r="990" spans="1:21" ht="15.75" thickBot="1" x14ac:dyDescent="0.3">
      <c r="A990" s="4"/>
      <c r="B990" s="4"/>
      <c r="C990" s="4"/>
      <c r="D990" s="4"/>
      <c r="E990" s="4"/>
      <c r="F990" s="4"/>
      <c r="G990" s="4"/>
      <c r="H990" s="4"/>
      <c r="I990" s="7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</row>
    <row r="991" spans="1:21" ht="15.75" thickBot="1" x14ac:dyDescent="0.3">
      <c r="A991" s="4"/>
      <c r="B991" s="4"/>
      <c r="C991" s="4"/>
      <c r="D991" s="4"/>
      <c r="E991" s="4"/>
      <c r="F991" s="4"/>
      <c r="G991" s="4"/>
      <c r="H991" s="4"/>
      <c r="I991" s="7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</row>
    <row r="992" spans="1:21" ht="15.75" thickBot="1" x14ac:dyDescent="0.3">
      <c r="A992" s="4"/>
      <c r="B992" s="4"/>
      <c r="C992" s="4"/>
      <c r="D992" s="4"/>
      <c r="E992" s="4"/>
      <c r="F992" s="4"/>
      <c r="G992" s="4"/>
      <c r="H992" s="4"/>
      <c r="I992" s="7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</row>
    <row r="993" spans="1:21" ht="15.75" thickBot="1" x14ac:dyDescent="0.3">
      <c r="A993" s="4"/>
      <c r="B993" s="4"/>
      <c r="C993" s="4"/>
      <c r="D993" s="4"/>
      <c r="E993" s="4"/>
      <c r="F993" s="4"/>
      <c r="G993" s="4"/>
      <c r="H993" s="4"/>
      <c r="I993" s="7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</row>
    <row r="994" spans="1:21" ht="15.75" thickBot="1" x14ac:dyDescent="0.3">
      <c r="A994" s="4"/>
      <c r="B994" s="4"/>
      <c r="C994" s="4"/>
      <c r="D994" s="4"/>
      <c r="E994" s="4"/>
      <c r="F994" s="4"/>
      <c r="G994" s="4"/>
      <c r="H994" s="4"/>
      <c r="I994" s="7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</row>
    <row r="995" spans="1:21" ht="15.75" thickBot="1" x14ac:dyDescent="0.3">
      <c r="A995" s="4"/>
      <c r="B995" s="4"/>
      <c r="C995" s="4"/>
      <c r="D995" s="4"/>
      <c r="E995" s="4"/>
      <c r="F995" s="4"/>
      <c r="G995" s="4"/>
      <c r="H995" s="4"/>
      <c r="I995" s="7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</row>
    <row r="996" spans="1:21" ht="15.75" thickBot="1" x14ac:dyDescent="0.3">
      <c r="A996" s="4"/>
      <c r="B996" s="4"/>
      <c r="C996" s="4"/>
      <c r="D996" s="4"/>
      <c r="E996" s="4"/>
      <c r="F996" s="4"/>
      <c r="G996" s="4"/>
      <c r="H996" s="4"/>
      <c r="I996" s="7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</row>
    <row r="997" spans="1:21" ht="15.75" thickBot="1" x14ac:dyDescent="0.3">
      <c r="A997" s="4"/>
      <c r="B997" s="4"/>
      <c r="C997" s="4"/>
      <c r="D997" s="4"/>
      <c r="E997" s="4"/>
      <c r="F997" s="4"/>
      <c r="G997" s="4"/>
      <c r="H997" s="4"/>
      <c r="I997" s="7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</row>
    <row r="998" spans="1:21" ht="15.75" thickBot="1" x14ac:dyDescent="0.3">
      <c r="A998" s="4"/>
      <c r="B998" s="4"/>
      <c r="C998" s="4"/>
      <c r="D998" s="4"/>
      <c r="E998" s="4"/>
      <c r="F998" s="4"/>
      <c r="G998" s="4"/>
      <c r="H998" s="4"/>
      <c r="I998" s="7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</row>
    <row r="999" spans="1:21" ht="15.75" thickBot="1" x14ac:dyDescent="0.3">
      <c r="A999" s="4"/>
      <c r="B999" s="4"/>
      <c r="C999" s="4"/>
      <c r="D999" s="4"/>
      <c r="E999" s="4"/>
      <c r="F999" s="4"/>
      <c r="G999" s="4"/>
      <c r="H999" s="4"/>
      <c r="I999" s="7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</row>
    <row r="1000" spans="1:21" ht="15.75" thickBot="1" x14ac:dyDescent="0.3">
      <c r="A1000" s="4"/>
      <c r="B1000" s="4"/>
      <c r="C1000" s="4"/>
      <c r="D1000" s="4"/>
      <c r="E1000" s="4"/>
      <c r="F1000" s="4"/>
      <c r="G1000" s="4"/>
      <c r="H1000" s="4"/>
      <c r="I1000" s="7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</row>
  </sheetData>
  <mergeCells count="800">
    <mergeCell ref="A800:A801"/>
    <mergeCell ref="I800:I801"/>
    <mergeCell ref="A794:A795"/>
    <mergeCell ref="I794:I795"/>
    <mergeCell ref="A796:A797"/>
    <mergeCell ref="I796:I797"/>
    <mergeCell ref="A798:A799"/>
    <mergeCell ref="I798:I799"/>
    <mergeCell ref="A788:A789"/>
    <mergeCell ref="I788:I789"/>
    <mergeCell ref="A790:A791"/>
    <mergeCell ref="I790:I791"/>
    <mergeCell ref="A792:A793"/>
    <mergeCell ref="I792:I793"/>
    <mergeCell ref="A782:A783"/>
    <mergeCell ref="I782:I783"/>
    <mergeCell ref="A784:A785"/>
    <mergeCell ref="I784:I785"/>
    <mergeCell ref="A786:A787"/>
    <mergeCell ref="I786:I787"/>
    <mergeCell ref="A776:A777"/>
    <mergeCell ref="I776:I777"/>
    <mergeCell ref="A778:A779"/>
    <mergeCell ref="I778:I779"/>
    <mergeCell ref="A780:A781"/>
    <mergeCell ref="I780:I781"/>
    <mergeCell ref="A770:A771"/>
    <mergeCell ref="I770:I771"/>
    <mergeCell ref="A772:A773"/>
    <mergeCell ref="I772:I773"/>
    <mergeCell ref="A774:A775"/>
    <mergeCell ref="I774:I775"/>
    <mergeCell ref="A764:A765"/>
    <mergeCell ref="I764:I765"/>
    <mergeCell ref="A766:A767"/>
    <mergeCell ref="I766:I767"/>
    <mergeCell ref="A768:A769"/>
    <mergeCell ref="I768:I769"/>
    <mergeCell ref="A758:A759"/>
    <mergeCell ref="I758:I759"/>
    <mergeCell ref="A760:A761"/>
    <mergeCell ref="I760:I761"/>
    <mergeCell ref="A762:A763"/>
    <mergeCell ref="I762:I763"/>
    <mergeCell ref="A752:A753"/>
    <mergeCell ref="I752:I753"/>
    <mergeCell ref="A754:A755"/>
    <mergeCell ref="I754:I755"/>
    <mergeCell ref="A756:A757"/>
    <mergeCell ref="I756:I757"/>
    <mergeCell ref="A746:A747"/>
    <mergeCell ref="I746:I747"/>
    <mergeCell ref="A748:A749"/>
    <mergeCell ref="I748:I749"/>
    <mergeCell ref="A750:A751"/>
    <mergeCell ref="I750:I751"/>
    <mergeCell ref="A740:A741"/>
    <mergeCell ref="I740:I741"/>
    <mergeCell ref="A742:A743"/>
    <mergeCell ref="I742:I743"/>
    <mergeCell ref="A744:A745"/>
    <mergeCell ref="I744:I745"/>
    <mergeCell ref="A734:A735"/>
    <mergeCell ref="I734:I735"/>
    <mergeCell ref="A736:A737"/>
    <mergeCell ref="I736:I737"/>
    <mergeCell ref="A738:A739"/>
    <mergeCell ref="I738:I739"/>
    <mergeCell ref="A728:A729"/>
    <mergeCell ref="I728:I729"/>
    <mergeCell ref="A730:A731"/>
    <mergeCell ref="I730:I731"/>
    <mergeCell ref="A732:A733"/>
    <mergeCell ref="I732:I733"/>
    <mergeCell ref="A722:A723"/>
    <mergeCell ref="I722:I723"/>
    <mergeCell ref="A724:A725"/>
    <mergeCell ref="I724:I725"/>
    <mergeCell ref="A726:A727"/>
    <mergeCell ref="I726:I727"/>
    <mergeCell ref="A716:A717"/>
    <mergeCell ref="I716:I717"/>
    <mergeCell ref="A718:A719"/>
    <mergeCell ref="I718:I719"/>
    <mergeCell ref="A720:A721"/>
    <mergeCell ref="I720:I721"/>
    <mergeCell ref="A710:A711"/>
    <mergeCell ref="I710:I711"/>
    <mergeCell ref="A712:A713"/>
    <mergeCell ref="I712:I713"/>
    <mergeCell ref="A714:A715"/>
    <mergeCell ref="I714:I715"/>
    <mergeCell ref="A704:A705"/>
    <mergeCell ref="I704:I705"/>
    <mergeCell ref="A706:A707"/>
    <mergeCell ref="I706:I707"/>
    <mergeCell ref="A708:A709"/>
    <mergeCell ref="I708:I709"/>
    <mergeCell ref="A698:A699"/>
    <mergeCell ref="I698:I699"/>
    <mergeCell ref="A700:A701"/>
    <mergeCell ref="I700:I701"/>
    <mergeCell ref="A702:A703"/>
    <mergeCell ref="I702:I703"/>
    <mergeCell ref="A692:A693"/>
    <mergeCell ref="I692:I693"/>
    <mergeCell ref="A694:A695"/>
    <mergeCell ref="I694:I695"/>
    <mergeCell ref="A696:A697"/>
    <mergeCell ref="I696:I697"/>
    <mergeCell ref="A686:A687"/>
    <mergeCell ref="I686:I687"/>
    <mergeCell ref="A688:A689"/>
    <mergeCell ref="I688:I689"/>
    <mergeCell ref="A690:A691"/>
    <mergeCell ref="I690:I691"/>
    <mergeCell ref="A680:A681"/>
    <mergeCell ref="I680:I681"/>
    <mergeCell ref="A682:A683"/>
    <mergeCell ref="I682:I683"/>
    <mergeCell ref="A684:A685"/>
    <mergeCell ref="I684:I685"/>
    <mergeCell ref="A674:A675"/>
    <mergeCell ref="I674:I675"/>
    <mergeCell ref="A676:A677"/>
    <mergeCell ref="I676:I677"/>
    <mergeCell ref="A678:A679"/>
    <mergeCell ref="I678:I679"/>
    <mergeCell ref="A668:A669"/>
    <mergeCell ref="I668:I669"/>
    <mergeCell ref="A670:A671"/>
    <mergeCell ref="I670:I671"/>
    <mergeCell ref="A672:A673"/>
    <mergeCell ref="I672:I673"/>
    <mergeCell ref="A662:A663"/>
    <mergeCell ref="I662:I663"/>
    <mergeCell ref="A664:A665"/>
    <mergeCell ref="I664:I665"/>
    <mergeCell ref="A666:A667"/>
    <mergeCell ref="I666:I667"/>
    <mergeCell ref="A656:A657"/>
    <mergeCell ref="I656:I657"/>
    <mergeCell ref="A658:A659"/>
    <mergeCell ref="I658:I659"/>
    <mergeCell ref="A660:A661"/>
    <mergeCell ref="I660:I661"/>
    <mergeCell ref="A650:A651"/>
    <mergeCell ref="I650:I651"/>
    <mergeCell ref="A652:A653"/>
    <mergeCell ref="I652:I653"/>
    <mergeCell ref="A654:A655"/>
    <mergeCell ref="I654:I655"/>
    <mergeCell ref="A644:A645"/>
    <mergeCell ref="I644:I645"/>
    <mergeCell ref="A646:A647"/>
    <mergeCell ref="I646:I647"/>
    <mergeCell ref="A648:A649"/>
    <mergeCell ref="I648:I649"/>
    <mergeCell ref="A638:A639"/>
    <mergeCell ref="I638:I639"/>
    <mergeCell ref="A640:A641"/>
    <mergeCell ref="I640:I641"/>
    <mergeCell ref="A642:A643"/>
    <mergeCell ref="I642:I643"/>
    <mergeCell ref="A632:A633"/>
    <mergeCell ref="I632:I633"/>
    <mergeCell ref="A634:A635"/>
    <mergeCell ref="I634:I635"/>
    <mergeCell ref="A636:A637"/>
    <mergeCell ref="I636:I637"/>
    <mergeCell ref="A626:A627"/>
    <mergeCell ref="I626:I627"/>
    <mergeCell ref="A628:A629"/>
    <mergeCell ref="I628:I629"/>
    <mergeCell ref="A630:A631"/>
    <mergeCell ref="I630:I631"/>
    <mergeCell ref="A620:A621"/>
    <mergeCell ref="I620:I621"/>
    <mergeCell ref="A622:A623"/>
    <mergeCell ref="I622:I623"/>
    <mergeCell ref="A624:A625"/>
    <mergeCell ref="I624:I625"/>
    <mergeCell ref="A614:A615"/>
    <mergeCell ref="I614:I615"/>
    <mergeCell ref="A616:A617"/>
    <mergeCell ref="I616:I617"/>
    <mergeCell ref="A618:A619"/>
    <mergeCell ref="I618:I619"/>
    <mergeCell ref="A608:A609"/>
    <mergeCell ref="I608:I609"/>
    <mergeCell ref="A610:A611"/>
    <mergeCell ref="I610:I611"/>
    <mergeCell ref="A612:A613"/>
    <mergeCell ref="I612:I613"/>
    <mergeCell ref="A602:A603"/>
    <mergeCell ref="I602:I603"/>
    <mergeCell ref="A604:A605"/>
    <mergeCell ref="I604:I605"/>
    <mergeCell ref="A606:A607"/>
    <mergeCell ref="I606:I607"/>
    <mergeCell ref="A596:A597"/>
    <mergeCell ref="I596:I597"/>
    <mergeCell ref="A598:A599"/>
    <mergeCell ref="I598:I599"/>
    <mergeCell ref="A600:A601"/>
    <mergeCell ref="I600:I601"/>
    <mergeCell ref="A590:A591"/>
    <mergeCell ref="I590:I591"/>
    <mergeCell ref="A592:A593"/>
    <mergeCell ref="I592:I593"/>
    <mergeCell ref="A594:A595"/>
    <mergeCell ref="I594:I595"/>
    <mergeCell ref="A584:A585"/>
    <mergeCell ref="I584:I585"/>
    <mergeCell ref="A586:A587"/>
    <mergeCell ref="I586:I587"/>
    <mergeCell ref="A588:A589"/>
    <mergeCell ref="I588:I589"/>
    <mergeCell ref="A578:A579"/>
    <mergeCell ref="I578:I579"/>
    <mergeCell ref="A580:A581"/>
    <mergeCell ref="I580:I581"/>
    <mergeCell ref="A582:A583"/>
    <mergeCell ref="I582:I583"/>
    <mergeCell ref="A572:A573"/>
    <mergeCell ref="I572:I573"/>
    <mergeCell ref="A574:A575"/>
    <mergeCell ref="I574:I575"/>
    <mergeCell ref="A576:A577"/>
    <mergeCell ref="I576:I577"/>
    <mergeCell ref="A566:A567"/>
    <mergeCell ref="I566:I567"/>
    <mergeCell ref="A568:A569"/>
    <mergeCell ref="I568:I569"/>
    <mergeCell ref="A570:A571"/>
    <mergeCell ref="I570:I571"/>
    <mergeCell ref="A560:A561"/>
    <mergeCell ref="I560:I561"/>
    <mergeCell ref="A562:A563"/>
    <mergeCell ref="I562:I563"/>
    <mergeCell ref="A564:A565"/>
    <mergeCell ref="I564:I565"/>
    <mergeCell ref="A554:A555"/>
    <mergeCell ref="I554:I555"/>
    <mergeCell ref="A556:A557"/>
    <mergeCell ref="I556:I557"/>
    <mergeCell ref="A558:A559"/>
    <mergeCell ref="I558:I559"/>
    <mergeCell ref="A548:A549"/>
    <mergeCell ref="I548:I549"/>
    <mergeCell ref="A550:A551"/>
    <mergeCell ref="I550:I551"/>
    <mergeCell ref="A552:A553"/>
    <mergeCell ref="I552:I553"/>
    <mergeCell ref="A542:A543"/>
    <mergeCell ref="I542:I543"/>
    <mergeCell ref="A544:A545"/>
    <mergeCell ref="I544:I545"/>
    <mergeCell ref="A546:A547"/>
    <mergeCell ref="I546:I547"/>
    <mergeCell ref="A536:A537"/>
    <mergeCell ref="I536:I537"/>
    <mergeCell ref="A538:A539"/>
    <mergeCell ref="I538:I539"/>
    <mergeCell ref="A540:A541"/>
    <mergeCell ref="I540:I541"/>
    <mergeCell ref="A530:A531"/>
    <mergeCell ref="I530:I531"/>
    <mergeCell ref="A532:A533"/>
    <mergeCell ref="I532:I533"/>
    <mergeCell ref="A534:A535"/>
    <mergeCell ref="I534:I535"/>
    <mergeCell ref="A524:A525"/>
    <mergeCell ref="I524:I525"/>
    <mergeCell ref="A526:A527"/>
    <mergeCell ref="I526:I527"/>
    <mergeCell ref="A528:A529"/>
    <mergeCell ref="I528:I529"/>
    <mergeCell ref="A518:A519"/>
    <mergeCell ref="I518:I519"/>
    <mergeCell ref="A520:A521"/>
    <mergeCell ref="I520:I521"/>
    <mergeCell ref="A522:A523"/>
    <mergeCell ref="I522:I523"/>
    <mergeCell ref="A512:A513"/>
    <mergeCell ref="I512:I513"/>
    <mergeCell ref="A514:A515"/>
    <mergeCell ref="I514:I515"/>
    <mergeCell ref="A516:A517"/>
    <mergeCell ref="I516:I517"/>
    <mergeCell ref="A506:A507"/>
    <mergeCell ref="I506:I507"/>
    <mergeCell ref="A508:A509"/>
    <mergeCell ref="I508:I509"/>
    <mergeCell ref="A510:A511"/>
    <mergeCell ref="I510:I511"/>
    <mergeCell ref="A500:A501"/>
    <mergeCell ref="I500:I501"/>
    <mergeCell ref="A502:A503"/>
    <mergeCell ref="I502:I503"/>
    <mergeCell ref="A504:A505"/>
    <mergeCell ref="I504:I505"/>
    <mergeCell ref="A494:A495"/>
    <mergeCell ref="I494:I495"/>
    <mergeCell ref="A496:A497"/>
    <mergeCell ref="I496:I497"/>
    <mergeCell ref="A498:A499"/>
    <mergeCell ref="I498:I499"/>
    <mergeCell ref="A488:A489"/>
    <mergeCell ref="I488:I489"/>
    <mergeCell ref="A490:A491"/>
    <mergeCell ref="I490:I491"/>
    <mergeCell ref="A492:A493"/>
    <mergeCell ref="I492:I493"/>
    <mergeCell ref="A482:A483"/>
    <mergeCell ref="I482:I483"/>
    <mergeCell ref="A484:A485"/>
    <mergeCell ref="I484:I485"/>
    <mergeCell ref="A486:A487"/>
    <mergeCell ref="I486:I487"/>
    <mergeCell ref="A476:A477"/>
    <mergeCell ref="I476:I477"/>
    <mergeCell ref="A478:A479"/>
    <mergeCell ref="I478:I479"/>
    <mergeCell ref="A480:A481"/>
    <mergeCell ref="I480:I481"/>
    <mergeCell ref="A470:A471"/>
    <mergeCell ref="I470:I471"/>
    <mergeCell ref="A472:A473"/>
    <mergeCell ref="I472:I473"/>
    <mergeCell ref="A474:A475"/>
    <mergeCell ref="I474:I475"/>
    <mergeCell ref="A464:A465"/>
    <mergeCell ref="I464:I465"/>
    <mergeCell ref="A466:A467"/>
    <mergeCell ref="I466:I467"/>
    <mergeCell ref="A468:A469"/>
    <mergeCell ref="I468:I469"/>
    <mergeCell ref="A458:A459"/>
    <mergeCell ref="I458:I459"/>
    <mergeCell ref="A460:A461"/>
    <mergeCell ref="I460:I461"/>
    <mergeCell ref="A462:A463"/>
    <mergeCell ref="I462:I463"/>
    <mergeCell ref="A452:A453"/>
    <mergeCell ref="I452:I453"/>
    <mergeCell ref="A454:A455"/>
    <mergeCell ref="I454:I455"/>
    <mergeCell ref="A456:A457"/>
    <mergeCell ref="I456:I457"/>
    <mergeCell ref="A446:A447"/>
    <mergeCell ref="I446:I447"/>
    <mergeCell ref="A448:A449"/>
    <mergeCell ref="I448:I449"/>
    <mergeCell ref="A450:A451"/>
    <mergeCell ref="I450:I451"/>
    <mergeCell ref="A440:A441"/>
    <mergeCell ref="I440:I441"/>
    <mergeCell ref="A442:A443"/>
    <mergeCell ref="I442:I443"/>
    <mergeCell ref="A444:A445"/>
    <mergeCell ref="I444:I445"/>
    <mergeCell ref="A434:A435"/>
    <mergeCell ref="I434:I435"/>
    <mergeCell ref="A436:A437"/>
    <mergeCell ref="I436:I437"/>
    <mergeCell ref="A438:A439"/>
    <mergeCell ref="I438:I439"/>
    <mergeCell ref="A428:A429"/>
    <mergeCell ref="I428:I429"/>
    <mergeCell ref="A430:A431"/>
    <mergeCell ref="I430:I431"/>
    <mergeCell ref="A432:A433"/>
    <mergeCell ref="I432:I433"/>
    <mergeCell ref="A422:A423"/>
    <mergeCell ref="I422:I423"/>
    <mergeCell ref="A424:A425"/>
    <mergeCell ref="I424:I425"/>
    <mergeCell ref="A426:A427"/>
    <mergeCell ref="I426:I427"/>
    <mergeCell ref="A416:A417"/>
    <mergeCell ref="I416:I417"/>
    <mergeCell ref="A418:A419"/>
    <mergeCell ref="I418:I419"/>
    <mergeCell ref="A420:A421"/>
    <mergeCell ref="I420:I421"/>
    <mergeCell ref="A410:A411"/>
    <mergeCell ref="I410:I411"/>
    <mergeCell ref="A412:A413"/>
    <mergeCell ref="I412:I413"/>
    <mergeCell ref="A414:A415"/>
    <mergeCell ref="I414:I415"/>
    <mergeCell ref="A404:A405"/>
    <mergeCell ref="I404:I405"/>
    <mergeCell ref="A406:A407"/>
    <mergeCell ref="I406:I407"/>
    <mergeCell ref="A408:A409"/>
    <mergeCell ref="I408:I409"/>
    <mergeCell ref="A398:A399"/>
    <mergeCell ref="I398:I399"/>
    <mergeCell ref="A400:A401"/>
    <mergeCell ref="I400:I401"/>
    <mergeCell ref="A402:A403"/>
    <mergeCell ref="I402:I403"/>
    <mergeCell ref="A392:A393"/>
    <mergeCell ref="I392:I393"/>
    <mergeCell ref="A394:A395"/>
    <mergeCell ref="I394:I395"/>
    <mergeCell ref="A396:A397"/>
    <mergeCell ref="I396:I397"/>
    <mergeCell ref="A386:A387"/>
    <mergeCell ref="I386:I387"/>
    <mergeCell ref="A388:A389"/>
    <mergeCell ref="I388:I389"/>
    <mergeCell ref="A390:A391"/>
    <mergeCell ref="I390:I391"/>
    <mergeCell ref="A380:A381"/>
    <mergeCell ref="I380:I381"/>
    <mergeCell ref="A382:A383"/>
    <mergeCell ref="I382:I383"/>
    <mergeCell ref="A384:A385"/>
    <mergeCell ref="I384:I385"/>
    <mergeCell ref="A374:A375"/>
    <mergeCell ref="I374:I375"/>
    <mergeCell ref="A376:A377"/>
    <mergeCell ref="I376:I377"/>
    <mergeCell ref="A378:A379"/>
    <mergeCell ref="I378:I379"/>
    <mergeCell ref="A368:A369"/>
    <mergeCell ref="I368:I369"/>
    <mergeCell ref="A370:A371"/>
    <mergeCell ref="I370:I371"/>
    <mergeCell ref="A372:A373"/>
    <mergeCell ref="I372:I373"/>
    <mergeCell ref="A362:A363"/>
    <mergeCell ref="I362:I363"/>
    <mergeCell ref="A364:A365"/>
    <mergeCell ref="I364:I365"/>
    <mergeCell ref="A366:A367"/>
    <mergeCell ref="I366:I367"/>
    <mergeCell ref="A356:A357"/>
    <mergeCell ref="I356:I357"/>
    <mergeCell ref="A358:A359"/>
    <mergeCell ref="I358:I359"/>
    <mergeCell ref="A360:A361"/>
    <mergeCell ref="I360:I361"/>
    <mergeCell ref="A350:A351"/>
    <mergeCell ref="I350:I351"/>
    <mergeCell ref="A352:A353"/>
    <mergeCell ref="I352:I353"/>
    <mergeCell ref="A354:A355"/>
    <mergeCell ref="I354:I355"/>
    <mergeCell ref="A344:A345"/>
    <mergeCell ref="I344:I345"/>
    <mergeCell ref="A346:A347"/>
    <mergeCell ref="I346:I347"/>
    <mergeCell ref="A348:A349"/>
    <mergeCell ref="I348:I349"/>
    <mergeCell ref="A338:A339"/>
    <mergeCell ref="I338:I339"/>
    <mergeCell ref="A340:A341"/>
    <mergeCell ref="I340:I341"/>
    <mergeCell ref="A342:A343"/>
    <mergeCell ref="I342:I343"/>
    <mergeCell ref="A332:A333"/>
    <mergeCell ref="I332:I333"/>
    <mergeCell ref="A334:A335"/>
    <mergeCell ref="I334:I335"/>
    <mergeCell ref="A336:A337"/>
    <mergeCell ref="I336:I337"/>
    <mergeCell ref="A326:A327"/>
    <mergeCell ref="I326:I327"/>
    <mergeCell ref="A328:A329"/>
    <mergeCell ref="I328:I329"/>
    <mergeCell ref="A330:A331"/>
    <mergeCell ref="I330:I331"/>
    <mergeCell ref="A320:A321"/>
    <mergeCell ref="I320:I321"/>
    <mergeCell ref="A322:A323"/>
    <mergeCell ref="I322:I323"/>
    <mergeCell ref="A324:A325"/>
    <mergeCell ref="I324:I325"/>
    <mergeCell ref="A314:A315"/>
    <mergeCell ref="I314:I315"/>
    <mergeCell ref="A316:A317"/>
    <mergeCell ref="I316:I317"/>
    <mergeCell ref="A318:A319"/>
    <mergeCell ref="I318:I319"/>
    <mergeCell ref="A308:A309"/>
    <mergeCell ref="I308:I309"/>
    <mergeCell ref="A310:A311"/>
    <mergeCell ref="I310:I311"/>
    <mergeCell ref="A312:A313"/>
    <mergeCell ref="I312:I313"/>
    <mergeCell ref="A302:A303"/>
    <mergeCell ref="I302:I303"/>
    <mergeCell ref="A304:A305"/>
    <mergeCell ref="I304:I305"/>
    <mergeCell ref="A306:A307"/>
    <mergeCell ref="I306:I307"/>
    <mergeCell ref="A296:A297"/>
    <mergeCell ref="I296:I297"/>
    <mergeCell ref="A298:A299"/>
    <mergeCell ref="I298:I299"/>
    <mergeCell ref="A300:A301"/>
    <mergeCell ref="I300:I301"/>
    <mergeCell ref="A290:A291"/>
    <mergeCell ref="I290:I291"/>
    <mergeCell ref="A292:A293"/>
    <mergeCell ref="I292:I293"/>
    <mergeCell ref="A294:A295"/>
    <mergeCell ref="I294:I295"/>
    <mergeCell ref="A284:A285"/>
    <mergeCell ref="I284:I285"/>
    <mergeCell ref="A286:A287"/>
    <mergeCell ref="I286:I287"/>
    <mergeCell ref="A288:A289"/>
    <mergeCell ref="I288:I289"/>
    <mergeCell ref="A278:A279"/>
    <mergeCell ref="I278:I279"/>
    <mergeCell ref="A280:A281"/>
    <mergeCell ref="I280:I281"/>
    <mergeCell ref="A282:A283"/>
    <mergeCell ref="I282:I283"/>
    <mergeCell ref="A272:A273"/>
    <mergeCell ref="I272:I273"/>
    <mergeCell ref="A274:A275"/>
    <mergeCell ref="I274:I275"/>
    <mergeCell ref="A276:A277"/>
    <mergeCell ref="I276:I277"/>
    <mergeCell ref="A266:A267"/>
    <mergeCell ref="I266:I267"/>
    <mergeCell ref="A268:A269"/>
    <mergeCell ref="I268:I269"/>
    <mergeCell ref="A270:A271"/>
    <mergeCell ref="I270:I271"/>
    <mergeCell ref="A260:A261"/>
    <mergeCell ref="I260:I261"/>
    <mergeCell ref="A262:A263"/>
    <mergeCell ref="I262:I263"/>
    <mergeCell ref="A264:A265"/>
    <mergeCell ref="I264:I265"/>
    <mergeCell ref="A254:A255"/>
    <mergeCell ref="I254:I255"/>
    <mergeCell ref="A256:A257"/>
    <mergeCell ref="I256:I257"/>
    <mergeCell ref="A258:A259"/>
    <mergeCell ref="I258:I259"/>
    <mergeCell ref="A248:A249"/>
    <mergeCell ref="I248:I249"/>
    <mergeCell ref="A250:A251"/>
    <mergeCell ref="I250:I251"/>
    <mergeCell ref="A252:A253"/>
    <mergeCell ref="I252:I253"/>
    <mergeCell ref="A242:A243"/>
    <mergeCell ref="I242:I243"/>
    <mergeCell ref="A244:A245"/>
    <mergeCell ref="I244:I245"/>
    <mergeCell ref="A246:A247"/>
    <mergeCell ref="I246:I247"/>
    <mergeCell ref="A236:A237"/>
    <mergeCell ref="I236:I237"/>
    <mergeCell ref="A238:A239"/>
    <mergeCell ref="I238:I239"/>
    <mergeCell ref="A240:A241"/>
    <mergeCell ref="I240:I241"/>
    <mergeCell ref="A230:A231"/>
    <mergeCell ref="I230:I231"/>
    <mergeCell ref="A232:A233"/>
    <mergeCell ref="I232:I233"/>
    <mergeCell ref="A234:A235"/>
    <mergeCell ref="I234:I235"/>
    <mergeCell ref="A224:A225"/>
    <mergeCell ref="I224:I225"/>
    <mergeCell ref="A226:A227"/>
    <mergeCell ref="I226:I227"/>
    <mergeCell ref="A228:A229"/>
    <mergeCell ref="I228:I229"/>
    <mergeCell ref="A218:A219"/>
    <mergeCell ref="I218:I219"/>
    <mergeCell ref="A220:A221"/>
    <mergeCell ref="I220:I221"/>
    <mergeCell ref="A222:A223"/>
    <mergeCell ref="I222:I223"/>
    <mergeCell ref="A212:A213"/>
    <mergeCell ref="I212:I213"/>
    <mergeCell ref="A214:A215"/>
    <mergeCell ref="I214:I215"/>
    <mergeCell ref="A216:A217"/>
    <mergeCell ref="I216:I217"/>
    <mergeCell ref="A206:A207"/>
    <mergeCell ref="I206:I207"/>
    <mergeCell ref="A208:A209"/>
    <mergeCell ref="I208:I209"/>
    <mergeCell ref="A210:A211"/>
    <mergeCell ref="I210:I211"/>
    <mergeCell ref="A200:A201"/>
    <mergeCell ref="I200:I201"/>
    <mergeCell ref="A202:A203"/>
    <mergeCell ref="I202:I203"/>
    <mergeCell ref="A204:A205"/>
    <mergeCell ref="I204:I205"/>
    <mergeCell ref="A194:A195"/>
    <mergeCell ref="I194:I195"/>
    <mergeCell ref="A196:A197"/>
    <mergeCell ref="I196:I197"/>
    <mergeCell ref="A198:A199"/>
    <mergeCell ref="I198:I199"/>
    <mergeCell ref="A188:A189"/>
    <mergeCell ref="I188:I189"/>
    <mergeCell ref="A190:A191"/>
    <mergeCell ref="I190:I191"/>
    <mergeCell ref="A192:A193"/>
    <mergeCell ref="I192:I193"/>
    <mergeCell ref="A182:A183"/>
    <mergeCell ref="I182:I183"/>
    <mergeCell ref="A184:A185"/>
    <mergeCell ref="I184:I185"/>
    <mergeCell ref="A186:A187"/>
    <mergeCell ref="I186:I187"/>
    <mergeCell ref="A176:A177"/>
    <mergeCell ref="I176:I177"/>
    <mergeCell ref="A178:A179"/>
    <mergeCell ref="I178:I179"/>
    <mergeCell ref="A180:A181"/>
    <mergeCell ref="I180:I181"/>
    <mergeCell ref="A170:A171"/>
    <mergeCell ref="I170:I171"/>
    <mergeCell ref="A172:A173"/>
    <mergeCell ref="I172:I173"/>
    <mergeCell ref="A174:A175"/>
    <mergeCell ref="I174:I175"/>
    <mergeCell ref="A164:A165"/>
    <mergeCell ref="I164:I165"/>
    <mergeCell ref="A166:A167"/>
    <mergeCell ref="I166:I167"/>
    <mergeCell ref="A168:A169"/>
    <mergeCell ref="I168:I169"/>
    <mergeCell ref="A158:A159"/>
    <mergeCell ref="I158:I159"/>
    <mergeCell ref="A160:A161"/>
    <mergeCell ref="I160:I161"/>
    <mergeCell ref="A162:A163"/>
    <mergeCell ref="I162:I163"/>
    <mergeCell ref="A152:A153"/>
    <mergeCell ref="I152:I153"/>
    <mergeCell ref="A154:A155"/>
    <mergeCell ref="I154:I155"/>
    <mergeCell ref="A156:A157"/>
    <mergeCell ref="I156:I157"/>
    <mergeCell ref="A146:A147"/>
    <mergeCell ref="I146:I147"/>
    <mergeCell ref="A148:A149"/>
    <mergeCell ref="I148:I149"/>
    <mergeCell ref="A150:A151"/>
    <mergeCell ref="I150:I151"/>
    <mergeCell ref="A140:A141"/>
    <mergeCell ref="I140:I141"/>
    <mergeCell ref="A142:A143"/>
    <mergeCell ref="I142:I143"/>
    <mergeCell ref="A144:A145"/>
    <mergeCell ref="I144:I145"/>
    <mergeCell ref="A134:A135"/>
    <mergeCell ref="I134:I135"/>
    <mergeCell ref="A136:A137"/>
    <mergeCell ref="I136:I137"/>
    <mergeCell ref="A138:A139"/>
    <mergeCell ref="I138:I139"/>
    <mergeCell ref="A128:A129"/>
    <mergeCell ref="I128:I129"/>
    <mergeCell ref="A130:A131"/>
    <mergeCell ref="I130:I131"/>
    <mergeCell ref="A132:A133"/>
    <mergeCell ref="I132:I133"/>
    <mergeCell ref="A122:A123"/>
    <mergeCell ref="I122:I123"/>
    <mergeCell ref="A124:A125"/>
    <mergeCell ref="I124:I125"/>
    <mergeCell ref="A126:A127"/>
    <mergeCell ref="I126:I127"/>
    <mergeCell ref="A116:A117"/>
    <mergeCell ref="I116:I117"/>
    <mergeCell ref="A118:A119"/>
    <mergeCell ref="I118:I119"/>
    <mergeCell ref="A120:A121"/>
    <mergeCell ref="I120:I121"/>
    <mergeCell ref="A110:A111"/>
    <mergeCell ref="I110:I111"/>
    <mergeCell ref="A112:A113"/>
    <mergeCell ref="I112:I113"/>
    <mergeCell ref="A114:A115"/>
    <mergeCell ref="I114:I115"/>
    <mergeCell ref="A104:A105"/>
    <mergeCell ref="I104:I105"/>
    <mergeCell ref="A106:A107"/>
    <mergeCell ref="I106:I107"/>
    <mergeCell ref="A108:A109"/>
    <mergeCell ref="I108:I109"/>
    <mergeCell ref="A98:A99"/>
    <mergeCell ref="I98:I99"/>
    <mergeCell ref="A100:A101"/>
    <mergeCell ref="I100:I101"/>
    <mergeCell ref="A102:A103"/>
    <mergeCell ref="I102:I103"/>
    <mergeCell ref="A92:A93"/>
    <mergeCell ref="I92:I93"/>
    <mergeCell ref="A94:A95"/>
    <mergeCell ref="I94:I95"/>
    <mergeCell ref="A96:A97"/>
    <mergeCell ref="I96:I97"/>
    <mergeCell ref="A86:A87"/>
    <mergeCell ref="I86:I87"/>
    <mergeCell ref="A88:A89"/>
    <mergeCell ref="I88:I89"/>
    <mergeCell ref="A90:A91"/>
    <mergeCell ref="I90:I91"/>
    <mergeCell ref="A80:A81"/>
    <mergeCell ref="I80:I81"/>
    <mergeCell ref="A82:A83"/>
    <mergeCell ref="I82:I83"/>
    <mergeCell ref="A84:A85"/>
    <mergeCell ref="I84:I85"/>
    <mergeCell ref="A74:A75"/>
    <mergeCell ref="I74:I75"/>
    <mergeCell ref="A76:A77"/>
    <mergeCell ref="I76:I77"/>
    <mergeCell ref="A78:A79"/>
    <mergeCell ref="I78:I79"/>
    <mergeCell ref="A68:A69"/>
    <mergeCell ref="I68:I69"/>
    <mergeCell ref="A70:A71"/>
    <mergeCell ref="I70:I71"/>
    <mergeCell ref="A72:A73"/>
    <mergeCell ref="I72:I73"/>
    <mergeCell ref="A62:A63"/>
    <mergeCell ref="I62:I63"/>
    <mergeCell ref="A64:A65"/>
    <mergeCell ref="I64:I65"/>
    <mergeCell ref="A66:A67"/>
    <mergeCell ref="I66:I67"/>
    <mergeCell ref="A56:A57"/>
    <mergeCell ref="I56:I57"/>
    <mergeCell ref="A58:A59"/>
    <mergeCell ref="I58:I59"/>
    <mergeCell ref="A60:A61"/>
    <mergeCell ref="I60:I61"/>
    <mergeCell ref="A50:A51"/>
    <mergeCell ref="I50:I51"/>
    <mergeCell ref="A52:A53"/>
    <mergeCell ref="I52:I53"/>
    <mergeCell ref="A54:A55"/>
    <mergeCell ref="I54:I55"/>
    <mergeCell ref="A44:A45"/>
    <mergeCell ref="I44:I45"/>
    <mergeCell ref="A46:A47"/>
    <mergeCell ref="I46:I47"/>
    <mergeCell ref="A48:A49"/>
    <mergeCell ref="I48:I49"/>
    <mergeCell ref="A38:A39"/>
    <mergeCell ref="I38:I39"/>
    <mergeCell ref="A40:A41"/>
    <mergeCell ref="I40:I41"/>
    <mergeCell ref="A42:A43"/>
    <mergeCell ref="I42:I43"/>
    <mergeCell ref="A32:A33"/>
    <mergeCell ref="I32:I33"/>
    <mergeCell ref="A34:A35"/>
    <mergeCell ref="I34:I35"/>
    <mergeCell ref="A36:A37"/>
    <mergeCell ref="I36:I37"/>
    <mergeCell ref="A26:A27"/>
    <mergeCell ref="I26:I27"/>
    <mergeCell ref="A28:A29"/>
    <mergeCell ref="I28:I29"/>
    <mergeCell ref="A30:A31"/>
    <mergeCell ref="I30:I31"/>
    <mergeCell ref="A20:A21"/>
    <mergeCell ref="I20:I21"/>
    <mergeCell ref="A22:A23"/>
    <mergeCell ref="I22:I23"/>
    <mergeCell ref="A24:A25"/>
    <mergeCell ref="I24:I25"/>
    <mergeCell ref="A14:A15"/>
    <mergeCell ref="I14:I15"/>
    <mergeCell ref="A16:A17"/>
    <mergeCell ref="I16:I17"/>
    <mergeCell ref="A18:A19"/>
    <mergeCell ref="I18:I19"/>
    <mergeCell ref="A8:A9"/>
    <mergeCell ref="I8:I9"/>
    <mergeCell ref="A10:A11"/>
    <mergeCell ref="I10:I11"/>
    <mergeCell ref="A12:A13"/>
    <mergeCell ref="I12:I13"/>
    <mergeCell ref="A2:A3"/>
    <mergeCell ref="I2:I3"/>
    <mergeCell ref="A4:A5"/>
    <mergeCell ref="I4:I5"/>
    <mergeCell ref="A6:A7"/>
    <mergeCell ref="I6:I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Mendes Caldana</dc:creator>
  <cp:lastModifiedBy>Vitor Mendes Caldana</cp:lastModifiedBy>
  <dcterms:created xsi:type="dcterms:W3CDTF">2026-08-31T14:26:16Z</dcterms:created>
  <dcterms:modified xsi:type="dcterms:W3CDTF">2026-08-31T15:46:40Z</dcterms:modified>
</cp:coreProperties>
</file>